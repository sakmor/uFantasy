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_wang\Desktop\"/>
    </mc:Choice>
  </mc:AlternateContent>
  <bookViews>
    <workbookView xWindow="0" yWindow="0" windowWidth="28800" windowHeight="12285" activeTab="3"/>
  </bookViews>
  <sheets>
    <sheet name="parameter" sheetId="1" r:id="rId1"/>
    <sheet name="bioNumerical" sheetId="5" r:id="rId2"/>
    <sheet name="item" sheetId="4" r:id="rId3"/>
    <sheet name="Biology" sheetId="6" r:id="rId4"/>
    <sheet name="Sheet3" sheetId="3" r:id="rId5"/>
  </sheets>
  <calcPr calcId="162913"/>
</workbook>
</file>

<file path=xl/calcChain.xml><?xml version="1.0" encoding="utf-8"?>
<calcChain xmlns="http://schemas.openxmlformats.org/spreadsheetml/2006/main">
  <c r="C101" i="5" l="1"/>
  <c r="C102" i="5"/>
  <c r="B102" i="5"/>
  <c r="B101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4" i="5"/>
  <c r="B5" i="5"/>
  <c r="B6" i="5"/>
  <c r="B7" i="5"/>
  <c r="B8" i="5"/>
  <c r="B3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</calcChain>
</file>

<file path=xl/sharedStrings.xml><?xml version="1.0" encoding="utf-8"?>
<sst xmlns="http://schemas.openxmlformats.org/spreadsheetml/2006/main" count="93" uniqueCount="67">
  <si>
    <t>編號</t>
    <phoneticPr fontId="2" type="noConversion"/>
  </si>
  <si>
    <t>3</t>
    <phoneticPr fontId="1" type="noConversion"/>
  </si>
  <si>
    <t>4</t>
    <phoneticPr fontId="1" type="noConversion"/>
  </si>
  <si>
    <t>參數1</t>
    <phoneticPr fontId="2" type="noConversion"/>
  </si>
  <si>
    <t>參數2</t>
    <phoneticPr fontId="2" type="noConversion"/>
  </si>
  <si>
    <t>備註</t>
    <phoneticPr fontId="1" type="noConversion"/>
  </si>
  <si>
    <t>玩家的HP加成倍率</t>
  </si>
  <si>
    <t>小怪的HP加成倍率</t>
  </si>
  <si>
    <t>菁英的HP加成倍率</t>
  </si>
  <si>
    <t>王怪的HP加成倍率</t>
  </si>
  <si>
    <t>玩家的可被同級小怪打的次數</t>
  </si>
  <si>
    <t>小怪的可被同級玩家打的次數</t>
  </si>
  <si>
    <t>菁英的可被同級玩家打的次數</t>
  </si>
  <si>
    <t>王怪的可被同級玩家打的次數</t>
  </si>
  <si>
    <t>白品質武器減少同級小怪被打次數</t>
  </si>
  <si>
    <t>藍品質武器減少同級小怪被打次數</t>
  </si>
  <si>
    <t>綠品質武器減少同級小怪被打次數</t>
  </si>
  <si>
    <t>橘品質武器減少同級小怪被打次數</t>
  </si>
  <si>
    <t>紫品質武器減少同級小怪被打次數</t>
  </si>
  <si>
    <t>白品質防具減少同級小怪被打次數:DEF</t>
  </si>
  <si>
    <t>藍品質防具減少同級小怪被打次數:DEF</t>
  </si>
  <si>
    <t>綠品質防具減少同級小怪被打次數:DEF</t>
  </si>
  <si>
    <t>橘品質防具減少同級小怪被打次數:DEF</t>
  </si>
  <si>
    <t>紫品質防具減少同級小怪被打次數:DEF</t>
  </si>
  <si>
    <t>白品質防具減少同級小怪被打次數:HP</t>
  </si>
  <si>
    <t>藍品質防具減少同級小怪被打次數:HP</t>
  </si>
  <si>
    <t>綠品質防具減少同級小怪被打次數:HP</t>
  </si>
  <si>
    <t>橘品質防具減少同級小怪被打次數:HP</t>
  </si>
  <si>
    <t>紫品質防具減少同級小怪被打次數:HP</t>
  </si>
  <si>
    <t>5</t>
    <phoneticPr fontId="1" type="noConversion"/>
  </si>
  <si>
    <t>*</t>
    <phoneticPr fontId="1" type="noConversion"/>
  </si>
  <si>
    <t>1</t>
    <phoneticPr fontId="1" type="noConversion"/>
  </si>
  <si>
    <t>等級</t>
    <phoneticPr fontId="2" type="noConversion"/>
  </si>
  <si>
    <t>玩家血量</t>
    <phoneticPr fontId="2" type="noConversion"/>
  </si>
  <si>
    <t>3</t>
  </si>
  <si>
    <t>玩家防禦</t>
    <phoneticPr fontId="2" type="noConversion"/>
  </si>
  <si>
    <t>小怪血量</t>
    <phoneticPr fontId="2" type="noConversion"/>
  </si>
  <si>
    <t>小怪防禦</t>
    <phoneticPr fontId="2" type="noConversion"/>
  </si>
  <si>
    <t>菁英血量</t>
    <phoneticPr fontId="2" type="noConversion"/>
  </si>
  <si>
    <t>菁英防禦</t>
    <phoneticPr fontId="2" type="noConversion"/>
  </si>
  <si>
    <t>王怪防禦</t>
    <phoneticPr fontId="2" type="noConversion"/>
  </si>
  <si>
    <t>玩家攻擊</t>
    <phoneticPr fontId="2" type="noConversion"/>
  </si>
  <si>
    <t>2</t>
  </si>
  <si>
    <t>4</t>
  </si>
  <si>
    <t>5</t>
  </si>
  <si>
    <t>6</t>
  </si>
  <si>
    <t>7</t>
  </si>
  <si>
    <t>8</t>
  </si>
  <si>
    <t>9</t>
  </si>
  <si>
    <t>10</t>
  </si>
  <si>
    <t>編號</t>
    <phoneticPr fontId="1" type="noConversion"/>
  </si>
  <si>
    <t>名稱</t>
    <phoneticPr fontId="1" type="noConversion"/>
  </si>
  <si>
    <t>類型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</si>
  <si>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</si>
  <si>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</si>
  <si>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</si>
  <si>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</si>
  <si>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</si>
  <si>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碧藍˙史萊姆</t>
    <phoneticPr fontId="1" type="noConversion"/>
  </si>
  <si>
    <t>圖號</t>
    <phoneticPr fontId="1" type="noConversion"/>
  </si>
  <si>
    <t>AI</t>
    <phoneticPr fontId="1" type="noConversion"/>
  </si>
  <si>
    <t>騎士</t>
    <phoneticPr fontId="1" type="noConversion"/>
  </si>
  <si>
    <t>玩家</t>
    <phoneticPr fontId="1" type="noConversion"/>
  </si>
  <si>
    <t>菁英</t>
    <phoneticPr fontId="1" type="noConversion"/>
  </si>
  <si>
    <t>翠綠˙史萊姆</t>
    <phoneticPr fontId="1" type="noConversion"/>
  </si>
  <si>
    <t>小怪</t>
    <phoneticPr fontId="1" type="noConversion"/>
  </si>
  <si>
    <t>等級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</si>
</sst>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_ "/>
  </numFmts>
  <fonts count="2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</fonts>
  <fills count="3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7" borderId="6" applyNumberFormat="0" applyAlignment="0" applyProtection="0">
      <alignment vertical="center"/>
    </xf>
    <xf numFmtId="0" fontId="12" fillId="7" borderId="5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8" borderId="8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0" fillId="2" borderId="1" xfId="0" applyNumberFormat="1" applyFont="1" applyFill="1" applyBorder="1" applyAlignment="1">
      <alignment horizontal="center" vertical="center" wrapText="1"/>
    </xf>
    <xf numFmtId="49" fontId="20" fillId="0" borderId="1" xfId="0" applyNumberFormat="1" applyFont="1" applyFill="1" applyBorder="1" applyAlignment="1">
      <alignment horizontal="center" vertical="center" wrapText="1"/>
    </xf>
    <xf numFmtId="176" fontId="20" fillId="2" borderId="1" xfId="0" applyNumberFormat="1" applyFont="1" applyFill="1" applyBorder="1" applyAlignment="1">
      <alignment horizontal="center" vertical="center" wrapText="1"/>
    </xf>
    <xf numFmtId="176" fontId="21" fillId="0" borderId="0" xfId="0" applyNumberFormat="1" applyFont="1" applyAlignment="1">
      <alignment horizontal="center" vertical="center"/>
    </xf>
    <xf numFmtId="177" fontId="21" fillId="0" borderId="0" xfId="0" applyNumberFormat="1" applyFont="1" applyAlignment="1">
      <alignment horizontal="center" vertical="center"/>
    </xf>
    <xf numFmtId="0" fontId="23" fillId="34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Border="1" applyAlignment="1">
      <alignment horizontal="center" vertical="center" wrapText="1"/>
    </xf>
  </cellXfs>
  <cellStyles count="42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0</xdr:row>
          <xdr:rowOff>9525</xdr:rowOff>
        </xdr:from>
        <xdr:to>
          <xdr:col>5</xdr:col>
          <xdr:colOff>152400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D7B6499-AAE8-49C2-B65D-8BFD6DC19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0</xdr:row>
          <xdr:rowOff>104775</xdr:rowOff>
        </xdr:from>
        <xdr:to>
          <xdr:col>12</xdr:col>
          <xdr:colOff>66675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C402107-024E-4187-A83E-BC8823FD6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轉檔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0</xdr:row>
          <xdr:rowOff>9525</xdr:rowOff>
        </xdr:from>
        <xdr:to>
          <xdr:col>8</xdr:col>
          <xdr:colOff>152400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836C83F-6891-43F2-B970-B99DF593D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轉檔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0</xdr:row>
          <xdr:rowOff>9525</xdr:rowOff>
        </xdr:from>
        <xdr:to>
          <xdr:col>9</xdr:col>
          <xdr:colOff>142875</xdr:colOff>
          <xdr:row>1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5"/>
  <sheetViews>
    <sheetView workbookViewId="0">
      <selection activeCell="F25" sqref="F25"/>
    </sheetView>
  </sheetViews>
  <sheetFormatPr defaultColWidth="9" defaultRowHeight="14.25"/>
  <cols>
    <col min="1" max="1" width="9" style="3"/>
    <col min="2" max="2" width="9" style="3" customWidth="1"/>
    <col min="3" max="3" width="38.25" style="3" bestFit="1" customWidth="1"/>
    <col min="4" max="16384" width="9" style="3"/>
  </cols>
  <sheetData>
    <row r="1" spans="1:3">
      <c r="A1" s="4" t="s">
        <v>31</v>
      </c>
      <c r="B1" s="4">
        <v>2</v>
      </c>
      <c r="C1" s="5"/>
    </row>
    <row r="2" spans="1:3">
      <c r="A2" s="4" t="s">
        <v>0</v>
      </c>
      <c r="B2" s="4" t="s">
        <v>3</v>
      </c>
      <c r="C2" s="5" t="s">
        <v>5</v>
      </c>
    </row>
    <row r="3" spans="1:3">
      <c r="A3" s="2">
        <v>1</v>
      </c>
      <c r="B3" s="2">
        <v>2</v>
      </c>
      <c r="C3" s="1" t="s">
        <v>6</v>
      </c>
    </row>
    <row r="4" spans="1:3">
      <c r="A4" s="2">
        <v>2</v>
      </c>
      <c r="B4" s="2">
        <v>1</v>
      </c>
      <c r="C4" s="1" t="s">
        <v>7</v>
      </c>
    </row>
    <row r="5" spans="1:3">
      <c r="A5" s="2">
        <v>3</v>
      </c>
      <c r="B5" s="2">
        <v>1.5</v>
      </c>
      <c r="C5" s="1" t="s">
        <v>8</v>
      </c>
    </row>
    <row r="6" spans="1:3">
      <c r="A6" s="2">
        <v>4</v>
      </c>
      <c r="B6" s="2"/>
      <c r="C6" s="1" t="s">
        <v>9</v>
      </c>
    </row>
    <row r="7" spans="1:3">
      <c r="A7" s="2">
        <v>5</v>
      </c>
      <c r="B7" s="2">
        <v>35</v>
      </c>
      <c r="C7" s="1" t="s">
        <v>10</v>
      </c>
    </row>
    <row r="8" spans="1:3">
      <c r="A8" s="2">
        <v>6</v>
      </c>
      <c r="B8" s="2">
        <v>10</v>
      </c>
      <c r="C8" s="1" t="s">
        <v>11</v>
      </c>
    </row>
    <row r="9" spans="1:3">
      <c r="A9" s="2">
        <v>7</v>
      </c>
      <c r="B9" s="2">
        <v>30</v>
      </c>
      <c r="C9" s="1" t="s">
        <v>12</v>
      </c>
    </row>
    <row r="10" spans="1:3">
      <c r="A10" s="2">
        <v>8</v>
      </c>
      <c r="B10" s="2">
        <v>300</v>
      </c>
      <c r="C10" s="1" t="s">
        <v>13</v>
      </c>
    </row>
    <row r="11" spans="1:3">
      <c r="A11" s="2">
        <v>9</v>
      </c>
      <c r="B11" s="2"/>
      <c r="C11" s="1" t="s">
        <v>14</v>
      </c>
    </row>
    <row r="12" spans="1:3">
      <c r="A12" s="2">
        <v>10</v>
      </c>
      <c r="B12" s="2"/>
      <c r="C12" s="1" t="s">
        <v>15</v>
      </c>
    </row>
    <row r="13" spans="1:3">
      <c r="A13" s="2">
        <v>11</v>
      </c>
      <c r="B13" s="2"/>
      <c r="C13" s="1" t="s">
        <v>16</v>
      </c>
    </row>
    <row r="14" spans="1:3">
      <c r="A14" s="2">
        <v>12</v>
      </c>
      <c r="B14" s="2"/>
      <c r="C14" s="1" t="s">
        <v>17</v>
      </c>
    </row>
    <row r="15" spans="1:3">
      <c r="A15" s="2">
        <v>13</v>
      </c>
      <c r="B15" s="2"/>
      <c r="C15" s="1" t="s">
        <v>18</v>
      </c>
    </row>
    <row r="16" spans="1:3">
      <c r="A16" s="2">
        <v>14</v>
      </c>
      <c r="B16" s="2"/>
      <c r="C16" s="1" t="s">
        <v>19</v>
      </c>
    </row>
    <row r="17" spans="1:3">
      <c r="A17" s="2">
        <v>15</v>
      </c>
      <c r="B17" s="2"/>
      <c r="C17" s="1" t="s">
        <v>20</v>
      </c>
    </row>
    <row r="18" spans="1:3">
      <c r="A18" s="2">
        <v>16</v>
      </c>
      <c r="B18" s="2"/>
      <c r="C18" s="1" t="s">
        <v>21</v>
      </c>
    </row>
    <row r="19" spans="1:3">
      <c r="A19" s="2">
        <v>17</v>
      </c>
      <c r="B19" s="2"/>
      <c r="C19" s="1" t="s">
        <v>22</v>
      </c>
    </row>
    <row r="20" spans="1:3">
      <c r="A20" s="2">
        <v>18</v>
      </c>
      <c r="B20" s="2"/>
      <c r="C20" s="1" t="s">
        <v>23</v>
      </c>
    </row>
    <row r="21" spans="1:3">
      <c r="A21" s="2">
        <v>19</v>
      </c>
      <c r="B21" s="2"/>
      <c r="C21" s="1" t="s">
        <v>24</v>
      </c>
    </row>
    <row r="22" spans="1:3">
      <c r="A22" s="2">
        <v>20</v>
      </c>
      <c r="B22" s="2"/>
      <c r="C22" s="1" t="s">
        <v>25</v>
      </c>
    </row>
    <row r="23" spans="1:3">
      <c r="A23" s="2">
        <v>21</v>
      </c>
      <c r="B23" s="2"/>
      <c r="C23" s="1" t="s">
        <v>26</v>
      </c>
    </row>
    <row r="24" spans="1:3">
      <c r="A24" s="2">
        <v>22</v>
      </c>
      <c r="B24" s="2"/>
      <c r="C24" s="1" t="s">
        <v>27</v>
      </c>
    </row>
    <row r="25" spans="1:3">
      <c r="A25" s="2">
        <v>23</v>
      </c>
      <c r="B25" s="2"/>
      <c r="C25" s="1" t="s">
        <v>28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CSV">
                <anchor moveWithCells="1" sizeWithCells="1">
                  <from>
                    <xdr:col>3</xdr:col>
                    <xdr:colOff>342900</xdr:colOff>
                    <xdr:row>0</xdr:row>
                    <xdr:rowOff>9525</xdr:rowOff>
                  </from>
                  <to>
                    <xdr:col>5</xdr:col>
                    <xdr:colOff>152400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02"/>
  <sheetViews>
    <sheetView zoomScaleNormal="100" workbookViewId="0">
      <selection activeCell="D33" sqref="D33"/>
    </sheetView>
  </sheetViews>
  <sheetFormatPr defaultColWidth="9" defaultRowHeight="14.25"/>
  <cols>
    <col min="1" max="1" width="9" style="3"/>
    <col min="2" max="2" width="9" style="2"/>
    <col min="3" max="3" width="9" style="7"/>
    <col min="4" max="4" width="9" style="3" customWidth="1"/>
    <col min="5" max="5" width="9" style="3"/>
    <col min="6" max="6" width="9" style="3" customWidth="1"/>
    <col min="7" max="16384" width="9" style="3"/>
  </cols>
  <sheetData>
    <row r="1" spans="1:10">
      <c r="A1" s="4" t="s">
        <v>31</v>
      </c>
      <c r="B1" s="4" t="s">
        <v>42</v>
      </c>
      <c r="C1" s="4" t="s">
        <v>34</v>
      </c>
      <c r="D1" s="4" t="s">
        <v>43</v>
      </c>
      <c r="E1" s="4" t="s">
        <v>44</v>
      </c>
      <c r="F1" s="4" t="s">
        <v>45</v>
      </c>
      <c r="G1" s="4" t="s">
        <v>46</v>
      </c>
      <c r="H1" s="4" t="s">
        <v>47</v>
      </c>
      <c r="I1" s="4" t="s">
        <v>48</v>
      </c>
      <c r="J1" s="4" t="s">
        <v>49</v>
      </c>
    </row>
    <row r="2" spans="1:10">
      <c r="A2" s="4" t="s">
        <v>32</v>
      </c>
      <c r="B2" s="6" t="s">
        <v>41</v>
      </c>
      <c r="C2" s="6" t="s">
        <v>33</v>
      </c>
      <c r="D2" s="4" t="s">
        <v>35</v>
      </c>
      <c r="E2" s="4" t="s">
        <v>36</v>
      </c>
      <c r="F2" s="4" t="s">
        <v>37</v>
      </c>
      <c r="G2" s="4" t="s">
        <v>38</v>
      </c>
      <c r="H2" s="4" t="s">
        <v>39</v>
      </c>
      <c r="I2" s="4" t="s">
        <v>36</v>
      </c>
      <c r="J2" s="4" t="s">
        <v>40</v>
      </c>
    </row>
    <row r="3" spans="1:10">
      <c r="A3" s="2">
        <v>1</v>
      </c>
      <c r="B3" s="8">
        <f>(50+(A3*5)^1.5)*1*0.5</f>
        <v>30.590169943749473</v>
      </c>
      <c r="C3" s="7">
        <f>(50+(A3*5)^1.5)*parameter!$B$3</f>
        <v>122.36067977499789</v>
      </c>
      <c r="D3" s="2">
        <v>2</v>
      </c>
      <c r="E3" s="2">
        <v>2</v>
      </c>
      <c r="F3" s="2">
        <v>2</v>
      </c>
      <c r="G3" s="2">
        <v>2</v>
      </c>
      <c r="H3" s="2">
        <v>2</v>
      </c>
      <c r="I3" s="2">
        <v>2</v>
      </c>
      <c r="J3" s="2">
        <v>2</v>
      </c>
    </row>
    <row r="4" spans="1:10">
      <c r="A4" s="2">
        <v>2</v>
      </c>
      <c r="B4" s="8">
        <f t="shared" ref="B4:B67" si="0">(50+(A4*5)^1.5)*1*0.5</f>
        <v>40.811388300841898</v>
      </c>
      <c r="C4" s="7">
        <f>(50+(A4*5)^1.5)*parameter!$B$3</f>
        <v>163.24555320336759</v>
      </c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J4" s="2">
        <v>1</v>
      </c>
    </row>
    <row r="5" spans="1:10">
      <c r="A5" s="2">
        <v>3</v>
      </c>
      <c r="B5" s="8">
        <f t="shared" si="0"/>
        <v>54.047375096555619</v>
      </c>
      <c r="C5" s="7">
        <f>(50+(A5*5)^1.5)*parameter!$B$3</f>
        <v>216.18950038622248</v>
      </c>
      <c r="D5" s="2">
        <v>1.5</v>
      </c>
      <c r="E5" s="2">
        <v>1.5</v>
      </c>
      <c r="F5" s="2">
        <v>1.5</v>
      </c>
      <c r="G5" s="2">
        <v>1.5</v>
      </c>
      <c r="H5" s="2">
        <v>1.5</v>
      </c>
      <c r="I5" s="2">
        <v>1.5</v>
      </c>
      <c r="J5" s="2">
        <v>1.5</v>
      </c>
    </row>
    <row r="6" spans="1:10">
      <c r="A6" s="2">
        <v>4</v>
      </c>
      <c r="B6" s="8">
        <f t="shared" si="0"/>
        <v>69.721359549995796</v>
      </c>
      <c r="C6" s="7">
        <f>(50+(A6*5)^1.5)*parameter!$B$3</f>
        <v>278.88543819998318</v>
      </c>
      <c r="D6" s="2"/>
      <c r="E6" s="2"/>
      <c r="F6" s="2"/>
      <c r="G6" s="2"/>
      <c r="H6" s="2"/>
      <c r="I6" s="2"/>
      <c r="J6" s="2"/>
    </row>
    <row r="7" spans="1:10">
      <c r="A7" s="2">
        <v>5</v>
      </c>
      <c r="B7" s="8">
        <f t="shared" si="0"/>
        <v>87.499999999999972</v>
      </c>
      <c r="C7" s="7">
        <f>(50+(A7*5)^1.5)*parameter!$B$3</f>
        <v>349.99999999999989</v>
      </c>
      <c r="D7" s="2">
        <v>35</v>
      </c>
      <c r="E7" s="2">
        <v>35</v>
      </c>
      <c r="F7" s="2">
        <v>35</v>
      </c>
      <c r="G7" s="2">
        <v>35</v>
      </c>
      <c r="H7" s="2">
        <v>35</v>
      </c>
      <c r="I7" s="2">
        <v>35</v>
      </c>
      <c r="J7" s="2">
        <v>35</v>
      </c>
    </row>
    <row r="8" spans="1:10">
      <c r="A8" s="2">
        <v>6</v>
      </c>
      <c r="B8" s="8">
        <f t="shared" si="0"/>
        <v>107.1583836257749</v>
      </c>
      <c r="C8" s="7">
        <f>(50+(A8*5)^1.5)*parameter!$B$3</f>
        <v>428.63353450309961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</row>
    <row r="9" spans="1:10">
      <c r="A9" s="2">
        <v>7</v>
      </c>
      <c r="B9" s="8">
        <f t="shared" si="0"/>
        <v>128.53139620424326</v>
      </c>
      <c r="C9" s="7">
        <f>(50+(A9*5)^1.5)*parameter!$B$3</f>
        <v>514.12558481697306</v>
      </c>
      <c r="D9" s="2">
        <v>30</v>
      </c>
      <c r="E9" s="2">
        <v>30</v>
      </c>
      <c r="F9" s="2">
        <v>30</v>
      </c>
      <c r="G9" s="2">
        <v>30</v>
      </c>
      <c r="H9" s="2">
        <v>30</v>
      </c>
      <c r="I9" s="2">
        <v>30</v>
      </c>
      <c r="J9" s="2">
        <v>30</v>
      </c>
    </row>
    <row r="10" spans="1:10">
      <c r="A10" s="2">
        <v>8</v>
      </c>
      <c r="B10" s="8">
        <f t="shared" si="0"/>
        <v>151.49110640673518</v>
      </c>
      <c r="C10" s="7">
        <f>(50+(A10*5)^1.5)*parameter!$B$3</f>
        <v>605.96442562694074</v>
      </c>
      <c r="D10" s="2">
        <v>300</v>
      </c>
      <c r="E10" s="2">
        <v>300</v>
      </c>
      <c r="F10" s="2">
        <v>300</v>
      </c>
      <c r="G10" s="2">
        <v>300</v>
      </c>
      <c r="H10" s="2">
        <v>300</v>
      </c>
      <c r="I10" s="2">
        <v>300</v>
      </c>
      <c r="J10" s="2">
        <v>300</v>
      </c>
    </row>
    <row r="11" spans="1:10">
      <c r="A11" s="2">
        <v>9</v>
      </c>
      <c r="B11" s="8">
        <f t="shared" si="0"/>
        <v>175.93458848123578</v>
      </c>
      <c r="C11" s="7">
        <f>(50+(A11*5)^1.5)*parameter!$B$3</f>
        <v>703.73835392494311</v>
      </c>
      <c r="D11" s="2"/>
      <c r="E11" s="2"/>
      <c r="F11" s="2"/>
      <c r="G11" s="2"/>
      <c r="H11" s="2"/>
      <c r="I11" s="2"/>
      <c r="J11" s="2"/>
    </row>
    <row r="12" spans="1:10">
      <c r="A12" s="2">
        <v>10</v>
      </c>
      <c r="B12" s="8">
        <f t="shared" si="0"/>
        <v>201.7766952966368</v>
      </c>
      <c r="C12" s="7">
        <f>(50+(A12*5)^1.5)*parameter!$B$3</f>
        <v>807.10678118654721</v>
      </c>
      <c r="D12" s="2"/>
      <c r="E12" s="2"/>
      <c r="F12" s="2"/>
      <c r="G12" s="2"/>
      <c r="H12" s="2"/>
      <c r="I12" s="2"/>
      <c r="J12" s="2"/>
    </row>
    <row r="13" spans="1:10">
      <c r="A13" s="2">
        <v>11</v>
      </c>
      <c r="B13" s="8">
        <f t="shared" si="0"/>
        <v>228.94545839513071</v>
      </c>
      <c r="C13" s="7">
        <f>(50+(A13*5)^1.5)*parameter!$B$3</f>
        <v>915.78183358052286</v>
      </c>
      <c r="D13" s="2"/>
      <c r="E13" s="2"/>
      <c r="F13" s="2"/>
      <c r="G13" s="2"/>
      <c r="H13" s="2"/>
      <c r="I13" s="2"/>
      <c r="J13" s="2"/>
    </row>
    <row r="14" spans="1:10">
      <c r="A14" s="2">
        <v>12</v>
      </c>
      <c r="B14" s="8">
        <f t="shared" si="0"/>
        <v>257.37900077244478</v>
      </c>
      <c r="C14" s="7">
        <f>(50+(A14*5)^1.5)*parameter!$B$3</f>
        <v>1029.5160030897791</v>
      </c>
      <c r="D14" s="2"/>
      <c r="E14" s="2"/>
      <c r="F14" s="2"/>
      <c r="G14" s="2"/>
      <c r="H14" s="2"/>
      <c r="I14" s="2"/>
      <c r="J14" s="2"/>
    </row>
    <row r="15" spans="1:10">
      <c r="A15" s="2">
        <v>13</v>
      </c>
      <c r="B15" s="8">
        <f t="shared" si="0"/>
        <v>287.02337681970283</v>
      </c>
      <c r="C15" s="7">
        <f>(50+(A15*5)^1.5)*parameter!$B$3</f>
        <v>1148.0935072788113</v>
      </c>
      <c r="D15" s="2"/>
      <c r="E15" s="2"/>
      <c r="F15" s="2"/>
      <c r="G15" s="2"/>
      <c r="H15" s="2"/>
      <c r="I15" s="2"/>
      <c r="J15" s="2"/>
    </row>
    <row r="16" spans="1:10">
      <c r="A16" s="2">
        <v>14</v>
      </c>
      <c r="B16" s="8">
        <f t="shared" si="0"/>
        <v>317.83100928692676</v>
      </c>
      <c r="C16" s="7">
        <f>(50+(A16*5)^1.5)*parameter!$B$3</f>
        <v>1271.324037147707</v>
      </c>
      <c r="D16" s="2"/>
      <c r="E16" s="2"/>
      <c r="F16" s="2"/>
      <c r="G16" s="2"/>
      <c r="H16" s="2"/>
      <c r="I16" s="2"/>
      <c r="J16" s="2"/>
    </row>
    <row r="17" spans="1:10">
      <c r="A17" s="2">
        <v>15</v>
      </c>
      <c r="B17" s="8">
        <f t="shared" si="0"/>
        <v>349.75952641916433</v>
      </c>
      <c r="C17" s="7">
        <f>(50+(A17*5)^1.5)*parameter!$B$3</f>
        <v>1399.0381056766573</v>
      </c>
      <c r="D17" s="2"/>
      <c r="E17" s="2"/>
      <c r="F17" s="2"/>
      <c r="G17" s="2"/>
      <c r="H17" s="2"/>
      <c r="I17" s="2"/>
      <c r="J17" s="2"/>
    </row>
    <row r="18" spans="1:10">
      <c r="A18" s="2">
        <v>16</v>
      </c>
      <c r="B18" s="8">
        <f t="shared" si="0"/>
        <v>382.77087639996614</v>
      </c>
      <c r="C18" s="7">
        <f>(50+(A18*5)^1.5)*parameter!$B$3</f>
        <v>1531.0835055998646</v>
      </c>
      <c r="D18" s="2"/>
      <c r="E18" s="2"/>
      <c r="F18" s="2"/>
      <c r="G18" s="2"/>
      <c r="H18" s="2"/>
      <c r="I18" s="2"/>
      <c r="J18" s="2"/>
    </row>
    <row r="19" spans="1:10">
      <c r="A19" s="2">
        <v>17</v>
      </c>
      <c r="B19" s="8">
        <f t="shared" si="0"/>
        <v>416.83063943494784</v>
      </c>
      <c r="C19" s="7">
        <f>(50+(A19*5)^1.5)*parameter!$B$3</f>
        <v>1667.3225577397914</v>
      </c>
      <c r="D19" s="2"/>
      <c r="E19" s="2"/>
      <c r="F19" s="2"/>
      <c r="G19" s="2"/>
      <c r="H19" s="2"/>
      <c r="I19" s="2"/>
      <c r="J19" s="2"/>
    </row>
    <row r="20" spans="1:10">
      <c r="A20" s="2">
        <v>18</v>
      </c>
      <c r="B20" s="8">
        <f t="shared" si="0"/>
        <v>451.9074841227312</v>
      </c>
      <c r="C20" s="7">
        <f>(50+(A20*5)^1.5)*parameter!$B$3</f>
        <v>1807.6299364909248</v>
      </c>
      <c r="D20" s="2"/>
      <c r="E20" s="2"/>
      <c r="F20" s="2"/>
      <c r="G20" s="2"/>
      <c r="H20" s="2"/>
      <c r="I20" s="2"/>
      <c r="J20" s="2"/>
    </row>
    <row r="21" spans="1:10">
      <c r="A21" s="2">
        <v>19</v>
      </c>
      <c r="B21" s="8">
        <f t="shared" si="0"/>
        <v>487.97273137842552</v>
      </c>
      <c r="C21" s="7">
        <f>(50+(A21*5)^1.5)*parameter!$B$3</f>
        <v>1951.8909255137021</v>
      </c>
      <c r="D21" s="2"/>
      <c r="E21" s="2"/>
      <c r="F21" s="2"/>
      <c r="G21" s="2"/>
      <c r="H21" s="2"/>
      <c r="I21" s="2"/>
      <c r="J21" s="2"/>
    </row>
    <row r="22" spans="1:10">
      <c r="A22" s="2">
        <v>20</v>
      </c>
      <c r="B22" s="8">
        <f t="shared" si="0"/>
        <v>525.00000000000034</v>
      </c>
      <c r="C22" s="7">
        <f>(50+(A22*5)^1.5)*parameter!$B$3</f>
        <v>2100.0000000000014</v>
      </c>
      <c r="D22" s="2"/>
      <c r="E22" s="2"/>
      <c r="F22" s="2"/>
      <c r="G22" s="2"/>
      <c r="H22" s="2"/>
      <c r="I22" s="2"/>
      <c r="J22" s="2"/>
    </row>
    <row r="23" spans="1:10">
      <c r="A23" s="2">
        <v>21</v>
      </c>
      <c r="B23" s="8">
        <f t="shared" si="0"/>
        <v>562.96491521287896</v>
      </c>
      <c r="C23" s="7">
        <f>(50+(A23*5)^1.5)*parameter!$B$3</f>
        <v>2251.8596608515159</v>
      </c>
      <c r="D23" s="2"/>
      <c r="E23" s="2"/>
      <c r="F23" s="2"/>
      <c r="G23" s="2"/>
      <c r="H23" s="2"/>
      <c r="I23" s="2"/>
      <c r="J23" s="2"/>
    </row>
    <row r="24" spans="1:10">
      <c r="A24" s="2">
        <v>22</v>
      </c>
      <c r="B24" s="8">
        <f t="shared" si="0"/>
        <v>601.84486649358394</v>
      </c>
      <c r="C24" s="7">
        <f>(50+(A24*5)^1.5)*parameter!$B$3</f>
        <v>2407.3794659743357</v>
      </c>
      <c r="D24" s="2"/>
      <c r="E24" s="2"/>
      <c r="F24" s="2"/>
      <c r="G24" s="2"/>
      <c r="H24" s="2"/>
      <c r="I24" s="2"/>
      <c r="J24" s="2"/>
    </row>
    <row r="25" spans="1:10">
      <c r="A25" s="2">
        <v>23</v>
      </c>
      <c r="B25" s="8">
        <f t="shared" si="0"/>
        <v>641.61880444890789</v>
      </c>
      <c r="C25" s="7">
        <f>(50+(A25*5)^1.5)*parameter!$B$3</f>
        <v>2566.4752177956316</v>
      </c>
      <c r="D25" s="2"/>
      <c r="E25" s="2"/>
      <c r="F25" s="2"/>
      <c r="G25" s="2"/>
      <c r="H25" s="2"/>
      <c r="I25" s="2"/>
      <c r="J25" s="2"/>
    </row>
    <row r="26" spans="1:10">
      <c r="A26" s="2">
        <v>24</v>
      </c>
      <c r="B26" s="8">
        <f t="shared" si="0"/>
        <v>682.26706900619945</v>
      </c>
      <c r="C26" s="7">
        <f>(50+(A26*5)^1.5)*parameter!$B$3</f>
        <v>2729.0682760247978</v>
      </c>
    </row>
    <row r="27" spans="1:10">
      <c r="A27" s="2">
        <v>25</v>
      </c>
      <c r="B27" s="8">
        <f t="shared" si="0"/>
        <v>723.77124296868442</v>
      </c>
      <c r="C27" s="7">
        <f>(50+(A27*5)^1.5)*parameter!$B$3</f>
        <v>2895.0849718747377</v>
      </c>
    </row>
    <row r="28" spans="1:10">
      <c r="A28" s="2">
        <v>26</v>
      </c>
      <c r="B28" s="8">
        <f t="shared" si="0"/>
        <v>766.11402631443912</v>
      </c>
      <c r="C28" s="7">
        <f>(50+(A28*5)^1.5)*parameter!$B$3</f>
        <v>3064.4561052577565</v>
      </c>
    </row>
    <row r="29" spans="1:10">
      <c r="A29" s="2">
        <v>27</v>
      </c>
      <c r="B29" s="8">
        <f t="shared" si="0"/>
        <v>809.27912760700247</v>
      </c>
      <c r="C29" s="7">
        <f>(50+(A29*5)^1.5)*parameter!$B$3</f>
        <v>3237.1165104280099</v>
      </c>
    </row>
    <row r="30" spans="1:10">
      <c r="A30" s="2">
        <v>28</v>
      </c>
      <c r="B30" s="8">
        <f t="shared" si="0"/>
        <v>853.25116963394566</v>
      </c>
      <c r="C30" s="7">
        <f>(50+(A30*5)^1.5)*parameter!$B$3</f>
        <v>3413.0046785357827</v>
      </c>
    </row>
    <row r="31" spans="1:10">
      <c r="A31" s="2">
        <v>29</v>
      </c>
      <c r="B31" s="8">
        <f t="shared" si="0"/>
        <v>898.01560696244121</v>
      </c>
      <c r="C31" s="7">
        <f>(50+(A31*5)^1.5)*parameter!$B$3</f>
        <v>3592.0624278497648</v>
      </c>
    </row>
    <row r="32" spans="1:10">
      <c r="A32" s="2">
        <v>30</v>
      </c>
      <c r="B32" s="8">
        <f t="shared" si="0"/>
        <v>943.55865354369143</v>
      </c>
      <c r="C32" s="7">
        <f>(50+(A32*5)^1.5)*parameter!$B$3</f>
        <v>3774.2346141747657</v>
      </c>
    </row>
    <row r="33" spans="1:3">
      <c r="A33" s="2">
        <v>31</v>
      </c>
      <c r="B33" s="8">
        <f t="shared" si="0"/>
        <v>989.86721884412702</v>
      </c>
      <c r="C33" s="7">
        <f>(50+(A33*5)^1.5)*parameter!$B$3</f>
        <v>3959.4688753765081</v>
      </c>
    </row>
    <row r="34" spans="1:3">
      <c r="A34" s="2">
        <v>32</v>
      </c>
      <c r="B34" s="8">
        <f t="shared" si="0"/>
        <v>1036.928851253881</v>
      </c>
      <c r="C34" s="7">
        <f>(50+(A34*5)^1.5)*parameter!$B$3</f>
        <v>4147.7154050155241</v>
      </c>
    </row>
    <row r="35" spans="1:3">
      <c r="A35" s="2">
        <v>33</v>
      </c>
      <c r="B35" s="8">
        <f t="shared" si="0"/>
        <v>1084.731687739873</v>
      </c>
      <c r="C35" s="7">
        <f>(50+(A35*5)^1.5)*parameter!$B$3</f>
        <v>4338.926750959492</v>
      </c>
    </row>
    <row r="36" spans="1:3">
      <c r="A36" s="2">
        <v>34</v>
      </c>
      <c r="B36" s="8">
        <f t="shared" si="0"/>
        <v>1133.2644088844509</v>
      </c>
      <c r="C36" s="7">
        <f>(50+(A36*5)^1.5)*parameter!$B$3</f>
        <v>4533.0576355378034</v>
      </c>
    </row>
    <row r="37" spans="1:3">
      <c r="A37" s="2">
        <v>35</v>
      </c>
      <c r="B37" s="8">
        <f t="shared" si="0"/>
        <v>1182.5161985907591</v>
      </c>
      <c r="C37" s="7">
        <f>(50+(A37*5)^1.5)*parameter!$B$3</f>
        <v>4730.0647943630365</v>
      </c>
    </row>
    <row r="38" spans="1:3">
      <c r="A38" s="2">
        <v>36</v>
      </c>
      <c r="B38" s="8">
        <f t="shared" si="0"/>
        <v>1232.4767078498865</v>
      </c>
      <c r="C38" s="7">
        <f>(50+(A38*5)^1.5)*parameter!$B$3</f>
        <v>4929.9068313995458</v>
      </c>
    </row>
    <row r="39" spans="1:3">
      <c r="A39" s="2">
        <v>37</v>
      </c>
      <c r="B39" s="8">
        <f t="shared" si="0"/>
        <v>1283.1360220580273</v>
      </c>
      <c r="C39" s="7">
        <f>(50+(A39*5)^1.5)*parameter!$B$3</f>
        <v>5132.5440882321091</v>
      </c>
    </row>
    <row r="40" spans="1:3">
      <c r="A40" s="2">
        <v>38</v>
      </c>
      <c r="B40" s="8">
        <f t="shared" si="0"/>
        <v>1334.4846314485717</v>
      </c>
      <c r="C40" s="7">
        <f>(50+(A40*5)^1.5)*parameter!$B$3</f>
        <v>5337.9385257942868</v>
      </c>
    </row>
    <row r="41" spans="1:3">
      <c r="A41" s="2">
        <v>39</v>
      </c>
      <c r="B41" s="8">
        <f t="shared" si="0"/>
        <v>1386.5134042674717</v>
      </c>
      <c r="C41" s="7">
        <f>(50+(A41*5)^1.5)*parameter!$B$3</f>
        <v>5546.053617069887</v>
      </c>
    </row>
    <row r="42" spans="1:3">
      <c r="A42" s="2">
        <v>40</v>
      </c>
      <c r="B42" s="8">
        <f t="shared" si="0"/>
        <v>1439.2135623730937</v>
      </c>
      <c r="C42" s="7">
        <f>(50+(A42*5)^1.5)*parameter!$B$3</f>
        <v>5756.8542494923749</v>
      </c>
    </row>
    <row r="43" spans="1:3">
      <c r="A43" s="2">
        <v>41</v>
      </c>
      <c r="B43" s="8">
        <f t="shared" si="0"/>
        <v>1492.5766589858267</v>
      </c>
      <c r="C43" s="7">
        <f>(50+(A43*5)^1.5)*parameter!$B$3</f>
        <v>5970.3066359433069</v>
      </c>
    </row>
    <row r="44" spans="1:3">
      <c r="A44" s="2">
        <v>42</v>
      </c>
      <c r="B44" s="8">
        <f t="shared" si="0"/>
        <v>1546.5945583498899</v>
      </c>
      <c r="C44" s="7">
        <f>(50+(A44*5)^1.5)*parameter!$B$3</f>
        <v>6186.3782333995596</v>
      </c>
    </row>
    <row r="45" spans="1:3">
      <c r="A45" s="2">
        <v>43</v>
      </c>
      <c r="B45" s="8">
        <f t="shared" si="0"/>
        <v>1601.2594171011317</v>
      </c>
      <c r="C45" s="7">
        <f>(50+(A45*5)^1.5)*parameter!$B$3</f>
        <v>6405.0376684045268</v>
      </c>
    </row>
    <row r="46" spans="1:3">
      <c r="A46" s="2">
        <v>44</v>
      </c>
      <c r="B46" s="8">
        <f t="shared" si="0"/>
        <v>1656.5636671610462</v>
      </c>
      <c r="C46" s="7">
        <f>(50+(A46*5)^1.5)*parameter!$B$3</f>
        <v>6626.2546686441847</v>
      </c>
    </row>
    <row r="47" spans="1:3">
      <c r="A47" s="2">
        <v>45</v>
      </c>
      <c r="B47" s="8">
        <f t="shared" si="0"/>
        <v>1712.4999999999993</v>
      </c>
      <c r="C47" s="7">
        <f>(50+(A47*5)^1.5)*parameter!$B$3</f>
        <v>6849.9999999999973</v>
      </c>
    </row>
    <row r="48" spans="1:3">
      <c r="A48" s="2">
        <v>46</v>
      </c>
      <c r="B48" s="8">
        <f t="shared" si="0"/>
        <v>1769.0613521318564</v>
      </c>
      <c r="C48" s="7">
        <f>(50+(A48*5)^1.5)*parameter!$B$3</f>
        <v>7076.2454085274258</v>
      </c>
    </row>
    <row r="49" spans="1:3">
      <c r="A49" s="2">
        <v>47</v>
      </c>
      <c r="B49" s="8">
        <f t="shared" si="0"/>
        <v>1826.2408917188172</v>
      </c>
      <c r="C49" s="7">
        <f>(50+(A49*5)^1.5)*parameter!$B$3</f>
        <v>7304.963566875269</v>
      </c>
    </row>
    <row r="50" spans="1:3">
      <c r="A50" s="2">
        <v>48</v>
      </c>
      <c r="B50" s="8">
        <f t="shared" si="0"/>
        <v>1884.0320061795589</v>
      </c>
      <c r="C50" s="7">
        <f>(50+(A50*5)^1.5)*parameter!$B$3</f>
        <v>7536.1280247182358</v>
      </c>
    </row>
    <row r="51" spans="1:3">
      <c r="A51" s="2">
        <v>49</v>
      </c>
      <c r="B51" s="8">
        <f t="shared" si="0"/>
        <v>1942.4282907060717</v>
      </c>
      <c r="C51" s="7">
        <f>(50+(A51*5)^1.5)*parameter!$B$3</f>
        <v>7769.7131628242869</v>
      </c>
    </row>
    <row r="52" spans="1:3">
      <c r="A52" s="2">
        <v>50</v>
      </c>
      <c r="B52" s="8">
        <f t="shared" si="0"/>
        <v>2001.4235376052359</v>
      </c>
      <c r="C52" s="7">
        <f>(50+(A52*5)^1.5)*parameter!$B$3</f>
        <v>8005.6941504209435</v>
      </c>
    </row>
    <row r="53" spans="1:3">
      <c r="A53" s="2">
        <v>51</v>
      </c>
      <c r="B53" s="8">
        <f t="shared" si="0"/>
        <v>2061.0117263905913</v>
      </c>
      <c r="C53" s="7">
        <f>(50+(A53*5)^1.5)*parameter!$B$3</f>
        <v>8244.0469055623653</v>
      </c>
    </row>
    <row r="54" spans="1:3">
      <c r="A54" s="2">
        <v>52</v>
      </c>
      <c r="B54" s="8">
        <f t="shared" si="0"/>
        <v>2121.1870145576236</v>
      </c>
      <c r="C54" s="7">
        <f>(50+(A54*5)^1.5)*parameter!$B$3</f>
        <v>8484.7480582304943</v>
      </c>
    </row>
    <row r="55" spans="1:3">
      <c r="A55" s="2">
        <v>53</v>
      </c>
      <c r="B55" s="8">
        <f t="shared" si="0"/>
        <v>2181.9437289832126</v>
      </c>
      <c r="C55" s="7">
        <f>(50+(A55*5)^1.5)*parameter!$B$3</f>
        <v>8727.7749159328505</v>
      </c>
    </row>
    <row r="56" spans="1:3">
      <c r="A56" s="2">
        <v>54</v>
      </c>
      <c r="B56" s="8">
        <f t="shared" si="0"/>
        <v>2243.2763578959225</v>
      </c>
      <c r="C56" s="7">
        <f>(50+(A56*5)^1.5)*parameter!$B$3</f>
        <v>8973.10543158369</v>
      </c>
    </row>
    <row r="57" spans="1:3">
      <c r="A57" s="2">
        <v>55</v>
      </c>
      <c r="B57" s="8">
        <f t="shared" si="0"/>
        <v>2305.1795433693387</v>
      </c>
      <c r="C57" s="7">
        <f>(50+(A57*5)^1.5)*parameter!$B$3</f>
        <v>9220.7181734773549</v>
      </c>
    </row>
    <row r="58" spans="1:3">
      <c r="A58" s="2">
        <v>56</v>
      </c>
      <c r="B58" s="8">
        <f t="shared" si="0"/>
        <v>2367.6480742954104</v>
      </c>
      <c r="C58" s="7">
        <f>(50+(A58*5)^1.5)*parameter!$B$3</f>
        <v>9470.5922971816417</v>
      </c>
    </row>
    <row r="59" spans="1:3">
      <c r="A59" s="2">
        <v>57</v>
      </c>
      <c r="B59" s="8">
        <f t="shared" si="0"/>
        <v>2430.6768797991126</v>
      </c>
      <c r="C59" s="7">
        <f>(50+(A59*5)^1.5)*parameter!$B$3</f>
        <v>9722.7075191964504</v>
      </c>
    </row>
    <row r="60" spans="1:3">
      <c r="A60" s="2">
        <v>58</v>
      </c>
      <c r="B60" s="8">
        <f t="shared" si="0"/>
        <v>2494.26102305933</v>
      </c>
      <c r="C60" s="7">
        <f>(50+(A60*5)^1.5)*parameter!$B$3</f>
        <v>9977.04409223732</v>
      </c>
    </row>
    <row r="61" spans="1:3">
      <c r="A61" s="2">
        <v>59</v>
      </c>
      <c r="B61" s="8">
        <f t="shared" si="0"/>
        <v>2558.3956955043554</v>
      </c>
      <c r="C61" s="7">
        <f>(50+(A61*5)^1.5)*parameter!$B$3</f>
        <v>10233.582782017422</v>
      </c>
    </row>
    <row r="62" spans="1:3">
      <c r="A62" s="2">
        <v>60</v>
      </c>
      <c r="B62" s="8">
        <f t="shared" si="0"/>
        <v>2623.0762113533156</v>
      </c>
      <c r="C62" s="7">
        <f>(50+(A62*5)^1.5)*parameter!$B$3</f>
        <v>10492.304845413262</v>
      </c>
    </row>
    <row r="63" spans="1:3">
      <c r="A63" s="2">
        <v>61</v>
      </c>
      <c r="B63" s="8">
        <f t="shared" si="0"/>
        <v>2688.2980024773829</v>
      </c>
      <c r="C63" s="7">
        <f>(50+(A63*5)^1.5)*parameter!$B$3</f>
        <v>10753.192009909531</v>
      </c>
    </row>
    <row r="64" spans="1:3">
      <c r="A64" s="2">
        <v>62</v>
      </c>
      <c r="B64" s="8">
        <f t="shared" si="0"/>
        <v>2754.0566135571476</v>
      </c>
      <c r="C64" s="7">
        <f>(50+(A64*5)^1.5)*parameter!$B$3</f>
        <v>11016.22645422859</v>
      </c>
    </row>
    <row r="65" spans="1:3">
      <c r="A65" s="2">
        <v>63</v>
      </c>
      <c r="B65" s="8">
        <f t="shared" si="0"/>
        <v>2820.3476975145686</v>
      </c>
      <c r="C65" s="7">
        <f>(50+(A65*5)^1.5)*parameter!$B$3</f>
        <v>11281.390790058274</v>
      </c>
    </row>
    <row r="66" spans="1:3">
      <c r="A66" s="2">
        <v>64</v>
      </c>
      <c r="B66" s="8">
        <f t="shared" si="0"/>
        <v>2887.16701119973</v>
      </c>
      <c r="C66" s="7">
        <f>(50+(A66*5)^1.5)*parameter!$B$3</f>
        <v>11548.66804479892</v>
      </c>
    </row>
    <row r="67" spans="1:3">
      <c r="A67" s="2">
        <v>65</v>
      </c>
      <c r="B67" s="8">
        <f t="shared" si="0"/>
        <v>2954.510411314493</v>
      </c>
      <c r="C67" s="7">
        <f>(50+(A67*5)^1.5)*parameter!$B$3</f>
        <v>11818.041645257972</v>
      </c>
    </row>
    <row r="68" spans="1:3">
      <c r="A68" s="2">
        <v>66</v>
      </c>
      <c r="B68" s="8">
        <f t="shared" ref="B68:B102" si="1">(50+(A68*5)^1.5)*1*0.5</f>
        <v>3022.3738505565143</v>
      </c>
      <c r="C68" s="7">
        <f>(50+(A68*5)^1.5)*parameter!$B$3</f>
        <v>12089.495402226057</v>
      </c>
    </row>
    <row r="69" spans="1:3">
      <c r="A69" s="2">
        <v>67</v>
      </c>
      <c r="B69" s="8">
        <f t="shared" si="1"/>
        <v>3090.7533739686255</v>
      </c>
      <c r="C69" s="7">
        <f>(50+(A69*5)^1.5)*parameter!$B$3</f>
        <v>12363.013495874502</v>
      </c>
    </row>
    <row r="70" spans="1:3">
      <c r="A70" s="2">
        <v>68</v>
      </c>
      <c r="B70" s="8">
        <f t="shared" si="1"/>
        <v>3159.6451154795809</v>
      </c>
      <c r="C70" s="7">
        <f>(50+(A70*5)^1.5)*parameter!$B$3</f>
        <v>12638.580461918324</v>
      </c>
    </row>
    <row r="71" spans="1:3">
      <c r="A71" s="2">
        <v>69</v>
      </c>
      <c r="B71" s="8">
        <f t="shared" si="1"/>
        <v>3229.0452946236596</v>
      </c>
      <c r="C71" s="7">
        <f>(50+(A71*5)^1.5)*parameter!$B$3</f>
        <v>12916.181178494639</v>
      </c>
    </row>
    <row r="72" spans="1:3">
      <c r="A72" s="2">
        <v>70</v>
      </c>
      <c r="B72" s="8">
        <f t="shared" si="1"/>
        <v>3298.9502134271984</v>
      </c>
      <c r="C72" s="7">
        <f>(50+(A72*5)^1.5)*parameter!$B$3</f>
        <v>13195.800853708794</v>
      </c>
    </row>
    <row r="73" spans="1:3">
      <c r="A73" s="2">
        <v>71</v>
      </c>
      <c r="B73" s="8">
        <f t="shared" si="1"/>
        <v>3369.3562534514749</v>
      </c>
      <c r="C73" s="7">
        <f>(50+(A73*5)^1.5)*parameter!$B$3</f>
        <v>13477.4250138059</v>
      </c>
    </row>
    <row r="74" spans="1:3">
      <c r="A74" s="2">
        <v>72</v>
      </c>
      <c r="B74" s="8">
        <f t="shared" si="1"/>
        <v>3440.2598729818505</v>
      </c>
      <c r="C74" s="7">
        <f>(50+(A74*5)^1.5)*parameter!$B$3</f>
        <v>13761.039491927402</v>
      </c>
    </row>
    <row r="75" spans="1:3">
      <c r="A75" s="2">
        <v>73</v>
      </c>
      <c r="B75" s="8">
        <f t="shared" si="1"/>
        <v>3511.657604354059</v>
      </c>
      <c r="C75" s="7">
        <f>(50+(A75*5)^1.5)*parameter!$B$3</f>
        <v>14046.630417416236</v>
      </c>
    </row>
    <row r="76" spans="1:3">
      <c r="A76" s="2">
        <v>74</v>
      </c>
      <c r="B76" s="8">
        <f t="shared" si="1"/>
        <v>3583.5460514091988</v>
      </c>
      <c r="C76" s="7">
        <f>(50+(A76*5)^1.5)*parameter!$B$3</f>
        <v>14334.184205636795</v>
      </c>
    </row>
    <row r="77" spans="1:3">
      <c r="A77" s="2">
        <v>75</v>
      </c>
      <c r="B77" s="8">
        <f t="shared" si="1"/>
        <v>3655.921887069454</v>
      </c>
      <c r="C77" s="7">
        <f>(50+(A77*5)^1.5)*parameter!$B$3</f>
        <v>14623.687548277816</v>
      </c>
    </row>
    <row r="78" spans="1:3">
      <c r="A78" s="2">
        <v>76</v>
      </c>
      <c r="B78" s="8">
        <f t="shared" si="1"/>
        <v>3728.7818510274051</v>
      </c>
      <c r="C78" s="7">
        <f>(50+(A78*5)^1.5)*parameter!$B$3</f>
        <v>14915.12740410962</v>
      </c>
    </row>
    <row r="79" spans="1:3">
      <c r="A79" s="2">
        <v>77</v>
      </c>
      <c r="B79" s="8">
        <f t="shared" si="1"/>
        <v>3802.1227475421065</v>
      </c>
      <c r="C79" s="7">
        <f>(50+(A79*5)^1.5)*parameter!$B$3</f>
        <v>15208.490990168426</v>
      </c>
    </row>
    <row r="80" spans="1:3">
      <c r="A80" s="2">
        <v>78</v>
      </c>
      <c r="B80" s="8">
        <f t="shared" si="1"/>
        <v>3875.9414433356392</v>
      </c>
      <c r="C80" s="7">
        <f>(50+(A80*5)^1.5)*parameter!$B$3</f>
        <v>15503.765773342557</v>
      </c>
    </row>
    <row r="81" spans="1:3">
      <c r="A81" s="2">
        <v>79</v>
      </c>
      <c r="B81" s="8">
        <f t="shared" si="1"/>
        <v>3950.2348655844794</v>
      </c>
      <c r="C81" s="7">
        <f>(50+(A81*5)^1.5)*parameter!$B$3</f>
        <v>15800.939462337918</v>
      </c>
    </row>
    <row r="82" spans="1:3">
      <c r="A82" s="2">
        <v>80</v>
      </c>
      <c r="B82" s="8">
        <f t="shared" si="1"/>
        <v>4025</v>
      </c>
      <c r="C82" s="7">
        <f>(50+(A82*5)^1.5)*parameter!$B$3</f>
        <v>16100</v>
      </c>
    </row>
    <row r="83" spans="1:3">
      <c r="A83" s="2">
        <v>81</v>
      </c>
      <c r="B83" s="8">
        <f t="shared" si="1"/>
        <v>4100.2338889933626</v>
      </c>
      <c r="C83" s="7">
        <f>(50+(A83*5)^1.5)*parameter!$B$3</f>
        <v>16400.93555597345</v>
      </c>
    </row>
    <row r="84" spans="1:3">
      <c r="A84" s="2">
        <v>82</v>
      </c>
      <c r="B84" s="8">
        <f t="shared" si="1"/>
        <v>4175.9336299199067</v>
      </c>
      <c r="C84" s="7">
        <f>(50+(A84*5)^1.5)*parameter!$B$3</f>
        <v>16703.734519679627</v>
      </c>
    </row>
    <row r="85" spans="1:3">
      <c r="A85" s="2">
        <v>83</v>
      </c>
      <c r="B85" s="8">
        <f t="shared" si="1"/>
        <v>4252.0963733986409</v>
      </c>
      <c r="C85" s="7">
        <f>(50+(A85*5)^1.5)*parameter!$B$3</f>
        <v>17008.385493594564</v>
      </c>
    </row>
    <row r="86" spans="1:3">
      <c r="A86" s="2">
        <v>84</v>
      </c>
      <c r="B86" s="8">
        <f t="shared" si="1"/>
        <v>4328.7193217030326</v>
      </c>
      <c r="C86" s="7">
        <f>(50+(A86*5)^1.5)*parameter!$B$3</f>
        <v>17314.87728681213</v>
      </c>
    </row>
    <row r="87" spans="1:3">
      <c r="A87" s="2">
        <v>85</v>
      </c>
      <c r="B87" s="8">
        <f t="shared" si="1"/>
        <v>4405.7997272187649</v>
      </c>
      <c r="C87" s="7">
        <f>(50+(A87*5)^1.5)*parameter!$B$3</f>
        <v>17623.19890887506</v>
      </c>
    </row>
    <row r="88" spans="1:3">
      <c r="A88" s="2">
        <v>86</v>
      </c>
      <c r="B88" s="8">
        <f t="shared" si="1"/>
        <v>4483.334890965456</v>
      </c>
      <c r="C88" s="7">
        <f>(50+(A88*5)^1.5)*parameter!$B$3</f>
        <v>17933.339563861824</v>
      </c>
    </row>
    <row r="89" spans="1:3">
      <c r="A89" s="2">
        <v>87</v>
      </c>
      <c r="B89" s="8">
        <f t="shared" si="1"/>
        <v>4561.3221611785893</v>
      </c>
      <c r="C89" s="7">
        <f>(50+(A89*5)^1.5)*parameter!$B$3</f>
        <v>18245.288644714357</v>
      </c>
    </row>
    <row r="90" spans="1:3">
      <c r="A90" s="2">
        <v>88</v>
      </c>
      <c r="B90" s="8">
        <f t="shared" si="1"/>
        <v>4639.7589319486642</v>
      </c>
      <c r="C90" s="7">
        <f>(50+(A90*5)^1.5)*parameter!$B$3</f>
        <v>18559.035727794657</v>
      </c>
    </row>
    <row r="91" spans="1:3">
      <c r="A91" s="2">
        <v>89</v>
      </c>
      <c r="B91" s="8">
        <f t="shared" si="1"/>
        <v>4718.6426419146974</v>
      </c>
      <c r="C91" s="7">
        <f>(50+(A91*5)^1.5)*parameter!$B$3</f>
        <v>18874.57056765879</v>
      </c>
    </row>
    <row r="92" spans="1:3">
      <c r="A92" s="2">
        <v>90</v>
      </c>
      <c r="B92" s="8">
        <f t="shared" si="1"/>
        <v>4797.9707730091986</v>
      </c>
      <c r="C92" s="7">
        <f>(50+(A92*5)^1.5)*parameter!$B$3</f>
        <v>19191.883092036795</v>
      </c>
    </row>
    <row r="93" spans="1:3">
      <c r="A93" s="2">
        <v>91</v>
      </c>
      <c r="B93" s="8">
        <f t="shared" si="1"/>
        <v>4877.7408492520972</v>
      </c>
      <c r="C93" s="7">
        <f>(50+(A93*5)^1.5)*parameter!$B$3</f>
        <v>19510.963397008389</v>
      </c>
    </row>
    <row r="94" spans="1:3">
      <c r="A94" s="2">
        <v>92</v>
      </c>
      <c r="B94" s="8">
        <f t="shared" si="1"/>
        <v>4957.9504355912641</v>
      </c>
      <c r="C94" s="7">
        <f>(50+(A94*5)^1.5)*parameter!$B$3</f>
        <v>19831.801742365056</v>
      </c>
    </row>
    <row r="95" spans="1:3">
      <c r="A95" s="2">
        <v>93</v>
      </c>
      <c r="B95" s="8">
        <f t="shared" si="1"/>
        <v>5038.5971367871161</v>
      </c>
      <c r="C95" s="7">
        <f>(50+(A95*5)^1.5)*parameter!$B$3</f>
        <v>20154.388547148465</v>
      </c>
    </row>
    <row r="96" spans="1:3">
      <c r="A96" s="2">
        <v>94</v>
      </c>
      <c r="B96" s="8">
        <f t="shared" si="1"/>
        <v>5119.6785963395141</v>
      </c>
      <c r="C96" s="7">
        <f>(50+(A96*5)^1.5)*parameter!$B$3</f>
        <v>20478.714385358056</v>
      </c>
    </row>
    <row r="97" spans="1:3">
      <c r="A97" s="2">
        <v>95</v>
      </c>
      <c r="B97" s="8">
        <f t="shared" si="1"/>
        <v>5201.1924954545502</v>
      </c>
      <c r="C97" s="7">
        <f>(50+(A97*5)^1.5)*parameter!$B$3</f>
        <v>20804.769981818201</v>
      </c>
    </row>
    <row r="98" spans="1:3">
      <c r="A98" s="2">
        <v>96</v>
      </c>
      <c r="B98" s="8">
        <f t="shared" si="1"/>
        <v>5283.1365520495974</v>
      </c>
      <c r="C98" s="7">
        <f>(50+(A98*5)^1.5)*parameter!$B$3</f>
        <v>21132.54620819839</v>
      </c>
    </row>
    <row r="99" spans="1:3">
      <c r="A99" s="2">
        <v>97</v>
      </c>
      <c r="B99" s="8">
        <f t="shared" si="1"/>
        <v>5365.5085197947246</v>
      </c>
      <c r="C99" s="7">
        <f>(50+(A99*5)^1.5)*parameter!$B$3</f>
        <v>21462.034079178899</v>
      </c>
    </row>
    <row r="100" spans="1:3">
      <c r="A100" s="2">
        <v>98</v>
      </c>
      <c r="B100" s="8">
        <f t="shared" si="1"/>
        <v>5448.306187188763</v>
      </c>
      <c r="C100" s="7">
        <f>(50+(A100*5)^1.5)*parameter!$B$3</f>
        <v>21793.224748755052</v>
      </c>
    </row>
    <row r="101" spans="1:3">
      <c r="A101" s="2">
        <v>99</v>
      </c>
      <c r="B101" s="8">
        <f t="shared" si="1"/>
        <v>5531.5273766685295</v>
      </c>
      <c r="C101" s="7">
        <f>(50+(A101*5)^1.5)*parameter!$B$3</f>
        <v>22126.109506674118</v>
      </c>
    </row>
    <row r="102" spans="1:3">
      <c r="A102" s="2">
        <v>100</v>
      </c>
      <c r="B102" s="8">
        <f t="shared" si="1"/>
        <v>5615.1699437494763</v>
      </c>
      <c r="C102" s="7">
        <f>(50+(A102*5)^1.5)*parameter!$B$3</f>
        <v>22460.679774997905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WriteCSV">
                <anchor moveWithCells="1" sizeWithCells="1">
                  <from>
                    <xdr:col>10</xdr:col>
                    <xdr:colOff>466725</xdr:colOff>
                    <xdr:row>0</xdr:row>
                    <xdr:rowOff>104775</xdr:rowOff>
                  </from>
                  <to>
                    <xdr:col>12</xdr:col>
                    <xdr:colOff>66675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activeCell="C3" sqref="C3"/>
    </sheetView>
  </sheetViews>
  <sheetFormatPr defaultColWidth="9" defaultRowHeight="14.25"/>
  <cols>
    <col min="1" max="1" width="9" style="3"/>
    <col min="2" max="4" width="9" style="3" customWidth="1"/>
    <col min="5" max="5" width="9" style="3"/>
    <col min="6" max="6" width="38.25" style="3" bestFit="1" customWidth="1"/>
    <col min="7" max="16384" width="9" style="3"/>
  </cols>
  <sheetData>
    <row r="1" spans="1:6">
      <c r="A1" s="4">
        <v>1</v>
      </c>
      <c r="B1" s="4">
        <v>2</v>
      </c>
      <c r="C1" s="4" t="s">
        <v>29</v>
      </c>
      <c r="D1" s="4" t="s">
        <v>1</v>
      </c>
      <c r="E1" s="4" t="s">
        <v>2</v>
      </c>
      <c r="F1" s="5" t="s">
        <v>30</v>
      </c>
    </row>
    <row r="2" spans="1:6">
      <c r="A2" s="4" t="s">
        <v>0</v>
      </c>
      <c r="B2" s="4" t="s">
        <v>3</v>
      </c>
      <c r="C2" s="4" t="s">
        <v>4</v>
      </c>
      <c r="D2" s="4" t="s">
        <v>4</v>
      </c>
      <c r="E2" s="4" t="s">
        <v>4</v>
      </c>
      <c r="F2" s="5" t="s">
        <v>5</v>
      </c>
    </row>
    <row r="3" spans="1:6">
      <c r="A3" s="2">
        <v>1</v>
      </c>
      <c r="B3" s="2">
        <v>101</v>
      </c>
      <c r="C3" s="2"/>
      <c r="D3" s="2">
        <v>201</v>
      </c>
      <c r="E3" s="3">
        <v>400</v>
      </c>
      <c r="F3" s="1" t="s">
        <v>6</v>
      </c>
    </row>
    <row r="4" spans="1:6">
      <c r="A4" s="2">
        <v>2</v>
      </c>
      <c r="B4" s="2">
        <v>102</v>
      </c>
      <c r="C4" s="2">
        <v>501</v>
      </c>
      <c r="D4" s="2">
        <v>202</v>
      </c>
      <c r="E4" s="3">
        <v>400</v>
      </c>
      <c r="F4" s="1" t="s">
        <v>7</v>
      </c>
    </row>
    <row r="5" spans="1:6">
      <c r="A5" s="2">
        <v>3</v>
      </c>
      <c r="B5" s="2">
        <v>103</v>
      </c>
      <c r="C5" s="2">
        <v>501</v>
      </c>
      <c r="D5" s="2">
        <v>203</v>
      </c>
      <c r="E5" s="3">
        <v>400</v>
      </c>
      <c r="F5" s="1" t="s">
        <v>8</v>
      </c>
    </row>
    <row r="6" spans="1:6">
      <c r="A6" s="2">
        <v>4</v>
      </c>
      <c r="B6" s="2">
        <v>104</v>
      </c>
      <c r="C6" s="2">
        <v>501</v>
      </c>
      <c r="D6" s="2">
        <v>204</v>
      </c>
      <c r="E6" s="3">
        <v>400</v>
      </c>
      <c r="F6" s="1" t="s">
        <v>9</v>
      </c>
    </row>
    <row r="7" spans="1:6">
      <c r="A7" s="2">
        <v>5</v>
      </c>
      <c r="B7" s="2">
        <v>105</v>
      </c>
      <c r="C7" s="2">
        <v>501</v>
      </c>
      <c r="D7" s="2">
        <v>205</v>
      </c>
      <c r="E7" s="3">
        <v>400</v>
      </c>
      <c r="F7" s="1" t="s">
        <v>10</v>
      </c>
    </row>
    <row r="8" spans="1:6">
      <c r="A8" s="2">
        <v>6</v>
      </c>
      <c r="B8" s="2">
        <v>106</v>
      </c>
      <c r="C8" s="2">
        <v>501</v>
      </c>
      <c r="D8" s="2">
        <v>206</v>
      </c>
      <c r="E8" s="3">
        <v>400</v>
      </c>
      <c r="F8" s="1" t="s">
        <v>11</v>
      </c>
    </row>
    <row r="9" spans="1:6">
      <c r="A9" s="2">
        <v>7</v>
      </c>
      <c r="B9" s="2">
        <v>107</v>
      </c>
      <c r="C9" s="2">
        <v>501</v>
      </c>
      <c r="D9" s="2">
        <v>207</v>
      </c>
      <c r="E9" s="3">
        <v>400</v>
      </c>
      <c r="F9" s="1" t="s">
        <v>12</v>
      </c>
    </row>
    <row r="10" spans="1:6">
      <c r="A10" s="2">
        <v>8</v>
      </c>
      <c r="B10" s="2">
        <v>108</v>
      </c>
      <c r="C10" s="2">
        <v>501</v>
      </c>
      <c r="D10" s="2">
        <v>208</v>
      </c>
      <c r="E10" s="3">
        <v>400</v>
      </c>
      <c r="F10" s="1" t="s">
        <v>13</v>
      </c>
    </row>
    <row r="11" spans="1:6">
      <c r="A11" s="2">
        <v>9</v>
      </c>
      <c r="B11" s="2">
        <v>109</v>
      </c>
      <c r="C11" s="2">
        <v>501</v>
      </c>
      <c r="D11" s="2">
        <v>209</v>
      </c>
      <c r="E11" s="3">
        <v>400</v>
      </c>
      <c r="F11" s="1" t="s">
        <v>14</v>
      </c>
    </row>
    <row r="12" spans="1:6">
      <c r="A12" s="2">
        <v>10</v>
      </c>
      <c r="B12" s="2">
        <v>110</v>
      </c>
      <c r="C12" s="2">
        <v>501</v>
      </c>
      <c r="D12" s="2">
        <v>210</v>
      </c>
      <c r="E12" s="3">
        <v>400</v>
      </c>
      <c r="F12" s="1" t="s">
        <v>15</v>
      </c>
    </row>
    <row r="13" spans="1:6">
      <c r="A13" s="2">
        <v>11</v>
      </c>
      <c r="B13" s="2">
        <v>111</v>
      </c>
      <c r="C13" s="2">
        <v>501</v>
      </c>
      <c r="D13" s="2">
        <v>211</v>
      </c>
      <c r="E13" s="3">
        <v>400</v>
      </c>
      <c r="F13" s="1" t="s">
        <v>16</v>
      </c>
    </row>
    <row r="14" spans="1:6">
      <c r="A14" s="2">
        <v>12</v>
      </c>
      <c r="B14" s="2">
        <v>112</v>
      </c>
      <c r="C14" s="2">
        <v>501</v>
      </c>
      <c r="D14" s="2">
        <v>212</v>
      </c>
      <c r="E14" s="3">
        <v>400</v>
      </c>
      <c r="F14" s="1" t="s">
        <v>17</v>
      </c>
    </row>
    <row r="15" spans="1:6">
      <c r="A15" s="2">
        <v>13</v>
      </c>
      <c r="B15" s="2">
        <v>113</v>
      </c>
      <c r="C15" s="2">
        <v>501</v>
      </c>
      <c r="D15" s="2">
        <v>213</v>
      </c>
      <c r="E15" s="3">
        <v>400</v>
      </c>
      <c r="F15" s="1" t="s">
        <v>18</v>
      </c>
    </row>
    <row r="16" spans="1:6">
      <c r="A16" s="2">
        <v>14</v>
      </c>
      <c r="B16" s="2">
        <v>114</v>
      </c>
      <c r="C16" s="2">
        <v>501</v>
      </c>
      <c r="D16" s="2">
        <v>214</v>
      </c>
      <c r="E16" s="3">
        <v>400</v>
      </c>
      <c r="F16" s="1" t="s">
        <v>19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riteCSV">
                <anchor moveWithCells="1" sizeWithCells="1">
                  <from>
                    <xdr:col>6</xdr:col>
                    <xdr:colOff>342900</xdr:colOff>
                    <xdr:row>0</xdr:row>
                    <xdr:rowOff>9525</xdr:rowOff>
                  </from>
                  <to>
                    <xdr:col>8</xdr:col>
                    <xdr:colOff>152400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9"/>
  <sheetViews>
    <sheetView tabSelected="1" workbookViewId="0">
      <selection activeCell="K12" sqref="K12"/>
    </sheetView>
  </sheetViews>
  <sheetFormatPr defaultRowHeight="16.5"/>
  <cols>
    <col min="2" max="2" width="11.375" bestFit="1" customWidth="1"/>
    <col min="5" max="5" width="8" customWidth="1"/>
  </cols>
  <sheetData>
    <row r="1" spans="1:7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5" t="s">
        <v>30</v>
      </c>
    </row>
    <row r="2" spans="1:7">
      <c r="A2" s="9" t="s">
        <v>50</v>
      </c>
      <c r="B2" s="9" t="s">
        <v>51</v>
      </c>
      <c r="C2" s="9" t="s">
        <v>59</v>
      </c>
      <c r="D2" s="9" t="s">
        <v>52</v>
      </c>
      <c r="E2" s="9" t="s">
        <v>66</v>
      </c>
      <c r="F2" s="9" t="s">
        <v>60</v>
      </c>
      <c r="G2" s="5" t="s">
        <v>5</v>
      </c>
    </row>
    <row r="3" spans="1:7">
      <c r="A3" s="10">
        <v>10001</v>
      </c>
      <c r="B3" s="11" t="s">
        <v>61</v>
      </c>
      <c r="C3" s="11">
        <v>10110</v>
      </c>
      <c r="D3" s="11" t="s">
        <v>62</v>
      </c>
      <c r="E3" s="11">
        <v>1</v>
      </c>
      <c r="F3" s="11">
        <v>1001</v>
      </c>
    </row>
    <row r="4" spans="1:7">
      <c r="A4" s="10">
        <v>50001</v>
      </c>
      <c r="B4" s="11" t="s">
        <v>53</v>
      </c>
      <c r="C4" s="11">
        <v>20110</v>
      </c>
      <c r="D4" s="12" t="s">
        <v>54</v>
      </c>
      <c r="E4" s="11">
        <v>10</v>
      </c>
      <c r="F4" s="10">
        <v>50001</v>
      </c>
    </row>
    <row r="5" spans="1:7">
      <c r="A5" s="10">
        <v>50002</v>
      </c>
      <c r="B5" s="11" t="s">
        <v>55</v>
      </c>
      <c r="C5" s="11">
        <v>20111</v>
      </c>
      <c r="D5" s="12" t="s">
        <v>63</v>
      </c>
      <c r="E5" s="11">
        <v>10</v>
      </c>
      <c r="F5" s="10">
        <v>50002</v>
      </c>
    </row>
    <row r="6" spans="1:7">
      <c r="A6" s="10">
        <v>50003</v>
      </c>
      <c r="B6" s="11" t="s">
        <v>64</v>
      </c>
      <c r="C6" s="11">
        <v>20112</v>
      </c>
      <c r="D6" s="12" t="s">
        <v>56</v>
      </c>
      <c r="E6" s="11">
        <v>10</v>
      </c>
      <c r="F6" s="10">
        <v>50003</v>
      </c>
    </row>
    <row r="7" spans="1:7">
      <c r="A7" s="10">
        <v>50004</v>
      </c>
      <c r="B7" s="11" t="s">
        <v>57</v>
      </c>
      <c r="C7" s="11">
        <v>20120</v>
      </c>
      <c r="D7" s="12" t="s">
        <v>65</v>
      </c>
      <c r="E7" s="11">
        <v>10</v>
      </c>
      <c r="F7" s="10">
        <v>50004</v>
      </c>
    </row>
    <row r="8" spans="1:7">
      <c r="A8" s="10">
        <v>50005</v>
      </c>
      <c r="B8" s="11" t="s">
        <v>57</v>
      </c>
      <c r="C8" s="11">
        <v>20121</v>
      </c>
      <c r="D8" s="12" t="s">
        <v>63</v>
      </c>
      <c r="E8" s="11">
        <v>10</v>
      </c>
      <c r="F8" s="10">
        <v>50005</v>
      </c>
    </row>
    <row r="9" spans="1:7">
      <c r="A9" s="10">
        <v>50006</v>
      </c>
      <c r="B9" s="11" t="s">
        <v>58</v>
      </c>
      <c r="C9" s="11">
        <v>20122</v>
      </c>
      <c r="D9" s="12" t="s">
        <v>56</v>
      </c>
      <c r="E9" s="11">
        <v>10</v>
      </c>
      <c r="F9" s="10">
        <v>50006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CSV">
                <anchor moveWithCells="1" sizeWithCells="1">
                  <from>
                    <xdr:col>7</xdr:col>
                    <xdr:colOff>333375</xdr:colOff>
                    <xdr:row>0</xdr:row>
                    <xdr:rowOff>9525</xdr:rowOff>
                  </from>
                  <to>
                    <xdr:col>9</xdr:col>
                    <xdr:colOff>142875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parameter</vt:lpstr>
      <vt:lpstr>bioNumerical</vt:lpstr>
      <vt:lpstr>item</vt:lpstr>
      <vt:lpstr>Biology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Sam Wang 王光昇</cp:lastModifiedBy>
  <dcterms:created xsi:type="dcterms:W3CDTF">2017-01-16T01:55:46Z</dcterms:created>
  <dcterms:modified xsi:type="dcterms:W3CDTF">2017-09-06T08:58:43Z</dcterms:modified>
</cp:coreProperties>
</file>