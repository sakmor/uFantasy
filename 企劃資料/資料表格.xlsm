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a8a6248a59308b5/文件/GitHub/uFantasy/企劃資料/"/>
    </mc:Choice>
  </mc:AlternateContent>
  <xr:revisionPtr revIDLastSave="58" documentId="113_{FE4A4C9E-7B68-4E2D-B3E8-C3F986DA014B}" xr6:coauthVersionLast="33" xr6:coauthVersionMax="33" xr10:uidLastSave="{BD5EFFD8-80D8-4C7B-B984-F13546BE6761}"/>
  <bookViews>
    <workbookView xWindow="0" yWindow="0" windowWidth="28800" windowHeight="12285" tabRatio="868" activeTab="3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901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<sst xmlns="http://schemas.openxmlformats.org/spreadsheetml/2006/main" count="1099" uniqueCount="685">
  <si>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</si>
  <si>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</si>
  <si>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</si>
  <si>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</si>
  <si>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</si>
  <si>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</si>
  <si>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</si>
  <si>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</si>
  <si>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</si>
  <si>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</si>
  <si>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</si>
  <si>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</si>
  <si>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</si>
  <si>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</si>
  <si>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</si>
  <si>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</si>
  <si>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</si>
  <si>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</si>
  <si>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</si>
  <si>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</si>
  <si>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</si>
  <si>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</si>
  <si>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</si>
  <si>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</si>
  <si>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</si>
  <si>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</si>
  <si>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</si>
  <si>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</si>
  <si>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</si>
  <si>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</si>
  <si>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</si>
  <si>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</si>
  <si>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</si>
  <si>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</si>
  <si>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</si>
  <si>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</si>
  <si>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</si>
  <si>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</si>
  <si>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</si>
  <si>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</si>
  <si>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</si>
  <si>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</si>
  <si>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</si>
  <si>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</si>
  <si>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</si>
  <si>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</si>
  <si>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</si>
  <si>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</si>
  <si>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</si>
  <si>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</si>
  <si>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</si>
  <si>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</si>
  <si>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</si>
  <si>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</si>
  <si>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</si>
  <si>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</si>
  <si>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</si>
  <si>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</si>
  <si>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</si>
  <si>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</si>
  <si>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</si>
  <si>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</si>
  <si>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</si>
  <si>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</si>
  <si>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</si>
  <si>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</si>
  <si>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</si>
  <si>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</si>
  <si>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</si>
  <si>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</si>
  <si>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</si>
  <si>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</si>
  <si>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</si>
  <si>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</si>
  <si>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</si>
  <si>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</si>
  <si>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</si>
  <si>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</si>
  <si>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</si>
  <si>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</si>
  <si>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</si>
  <si>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</si>
  <si>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</si>
  <si>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</si>
  <si>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</si>
  <si>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</si>
  <si>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</si>
  <si>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</si>
  <si>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</si>
  <si>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</si>
  <si>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</si>
  <si>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</si>
  <si>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</si>
  <si>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</si>
  <si>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</si>
  <si>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</si>
  <si>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</si>
  <si>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</si>
  <si>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</si>
  <si>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</si>
  <si>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</si>
  <si>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</si>
  <si>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</si>
  <si>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</si>
  <si>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</si>
  <si>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</si>
  <si>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</si>
  <si>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</si>
  <si>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</si>
  <si>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</si>
  <si>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</si>
  <si>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</si>
  <si>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</si>
  <si>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</si>
  <si>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</si>
  <si>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</si>
  <si>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</si>
  <si>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</si>
  <si>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</si>
  <si>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</si>
  <si>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</si>
  <si>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</si>
  <si>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</si>
  <si>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</si>
  <si>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</si>
  <si>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</si>
  <si>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</si>
  <si>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</si>
  <si>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</si>
  <si>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</si>
  <si>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</si>
  <si>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</si>
  <si>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</si>
  <si>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</si>
  <si>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</si>
  <si>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</si>
  <si>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</si>
  <si>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</si>
  <si>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</si>
  <si>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</si>
  <si>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</si>
  <si>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</si>
  <si>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</si>
  <si>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</si>
  <si>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</si>
  <si>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</si>
  <si>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</si>
  <si>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</si>
  <si>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</si>
  <si>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</si>
  <si>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</si>
  <si>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</si>
  <si>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</si>
  <si>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</si>
  <si>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</si>
  <si>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</si>
  <si>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</si>
  <si>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</si>
  <si>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</si>
  <si>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</si>
  <si>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</si>
  <si>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</si>
  <si>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</si>
  <si>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</si>
  <si>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</si>
  <si>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</si>
  <si>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</si>
  <si>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</si>
  <si>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</si>
  <si>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</si>
  <si>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</si>
  <si>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</si>
  <si>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</si>
  <si>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</si>
  <si>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</si>
  <si>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</si>
  <si>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</si>
  <si>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</si>
  <si>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</si>
  <si>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</si>
  <si>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</si>
  <si>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</si>
  <si>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</si>
  <si>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</si>
  <si>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</si>
  <si>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</si>
  <si>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</si>
  <si>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</si>
  <si>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</si>
  <si>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</si>
  <si>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</si>
  <si>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</si>
  <si>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</si>
  <si>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</si>
  <si>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</si>
  <si>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</si>
  <si>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</si>
  <si>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</si>
  <si>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</si>
  <si>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</si>
  <si>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</si>
  <si>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</si>
  <si>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</si>
  <si>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</si>
  <si>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</si>
  <si>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</si>
  <si>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</si>
  <si>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</si>
  <si>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</si>
  <si>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</si>
  <si>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</si>
  <si>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</si>
  <si>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</si>
  <si>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</si>
  <si>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</si>
  <si>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</si>
  <si>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</si>
  <si>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</si>
  <si>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</si>
  <si>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</si>
  <si>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</si>
  <si>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</si>
  <si>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</si>
  <si>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</si>
  <si>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</si>
  <si>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</si>
  <si>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</si>
  <si>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</si>
  <si>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</si>
  <si>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</si>
  <si>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</si>
  <si>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</si>
  <si>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</si>
  <si>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</si>
  <si>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</si>
  <si>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</si>
  <si>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</si>
  <si>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</si>
  <si>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</si>
  <si>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</si>
  <si>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</si>
  <si>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</si>
  <si>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</si>
  <si>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</si>
  <si>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</si>
  <si>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</si>
  <si>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</si>
  <si>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</si>
  <si>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</si>
  <si>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</si>
  <si>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</si>
  <si>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</si>
  <si>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</si>
  <si>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</si>
  <si>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</si>
  <si>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</si>
  <si>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</si>
  <si>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</si>
  <si>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</si>
  <si>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</si>
  <si>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</si>
  <si>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</si>
  <si>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</si>
  <si>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</si>
  <si>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</si>
  <si>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</si>
  <si>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</si>
  <si>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</si>
  <si>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</si>
  <si>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</si>
  <si>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</si>
  <si>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</si>
  <si>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</si>
  <si>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</si>
  <si>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</si>
  <si>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</si>
  <si>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</si>
  <si>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</si>
  <si>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</si>
  <si>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</si>
  <si>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</si>
  <si>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</si>
  <si>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</si>
  <si>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</si>
  <si>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</si>
  <si>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</si>
  <si>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</si>
  <si>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</si>
  <si>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</si>
  <si>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</si>
  <si>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</si>
  <si>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</si>
  <si>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</si>
  <si>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</si>
  <si>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</si>
  <si>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</si>
  <si>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</si>
  <si>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</si>
  <si>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</si>
  <si>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</si>
  <si>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</si>
  <si>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</si>
  <si>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</si>
  <si>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</si>
  <si>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</si>
  <si>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</si>
  <si>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</si>
  <si>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</si>
  <si>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</si>
  <si>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</si>
  <si>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</si>
  <si>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</si>
  <si>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</si>
  <si>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</si>
  <si>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</si>
  <si>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</si>
  <si>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</si>
  <si>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</si>
  <si>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</si>
  <si>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</si>
  <si>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</si>
  <si>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</si>
  <si>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</si>
  <si>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</si>
  <si>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</si>
  <si>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</si>
  <si>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</si>
  <si>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</si>
  <si>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</si>
  <si>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</si>
  <si>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</si>
  <si>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</si>
  <si>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</si>
  <si>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</si>
  <si>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</si>
  <si>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</si>
  <si>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</si>
  <si>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</si>
  <si>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</si>
  <si>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</si>
  <si>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</si>
  <si>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</si>
  <si>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</si>
  <si>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</si>
  <si>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</si>
  <si>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</si>
  <si>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</si>
  <si>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</si>
  <si>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</si>
  <si>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</si>
  <si>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</si>
  <si>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</si>
  <si>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</si>
  <si>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</si>
  <si>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</si>
  <si>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</si>
  <si>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</si>
  <si>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</si>
  <si>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</si>
  <si>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</si>
  <si>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</si>
  <si>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</si>
  <si>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</si>
  <si>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</si>
  <si>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</si>
  <si>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</si>
  <si>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</si>
  <si>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</si>
  <si>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</si>
  <si>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</si>
  <si>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</si>
  <si>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</si>
  <si>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</si>
  <si>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</si>
  <si>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</si>
  <si>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</si>
  <si>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</si>
  <si>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</si>
  <si>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</si>
  <si>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</si>
  <si>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</si>
  <si>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</si>
  <si>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</si>
  <si>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</si>
  <si>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</si>
  <si>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</si>
  <si>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</si>
  <si>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</si>
  <si>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</si>
  <si>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</si>
  <si>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</si>
  <si>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</si>
  <si>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</si>
  <si>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</si>
  <si>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</si>
  <si>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</si>
  <si>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</si>
  <si>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</si>
  <si>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</si>
  <si>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</si>
  <si>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</si>
  <si>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</si>
  <si>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</si>
  <si>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</si>
  <si>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</si>
  <si>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</si>
  <si>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</si>
  <si>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</si>
  <si>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</si>
  <si>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</si>
  <si>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</si>
  <si>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</si>
  <si>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</si>
  <si>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</si>
  <si>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</si>
  <si>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</si>
  <si>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</si>
  <si>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</si>
  <si>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</si>
  <si>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</si>
  <si>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</si>
  <si>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</si>
  <si>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</si>
  <si>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</si>
  <si>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</si>
  <si>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</si>
  <si>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</si>
  <si>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</si>
  <si>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</si>
  <si>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</si>
  <si>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</si>
  <si>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</si>
  <si>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</si>
  <si>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</si>
  <si>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</si>
  <si>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</si>
  <si>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</si>
  <si>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</si>
  <si>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</si>
  <si>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</si>
  <si>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</si>
  <si>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</si>
  <si>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</si>
  <si>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</si>
  <si>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</si>
  <si>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</si>
  <si>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</si>
  <si>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</si>
  <si>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</si>
  <si>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</si>
  <si>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</si>
  <si>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</si>
  <si>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</si>
  <si>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</si>
  <si>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</si>
  <si>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</si>
  <si>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</si>
  <si>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</si>
  <si>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</si>
  <si>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</si>
  <si>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</si>
  <si>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</si>
  <si>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</si>
  <si>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</si>
  <si>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</si>
  <si>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</si>
  <si>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</si>
  <si>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</si>
  <si>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</si>
  <si>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</si>
  <si>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</si>
  <si>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</si>
  <si>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</si>
  <si>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</si>
  <si>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</si>
  <si>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</si>
  <si>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</si>
  <si>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</si>
  <si>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</si>
  <si>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</si>
  <si>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</si>
  <si>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</si>
  <si>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</si>
  <si>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</si>
  <si>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</si>
  <si>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</si>
  <si>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</si>
  <si>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</si>
  <si>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</si>
  <si>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</si>
  <si>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</si>
  <si>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</si>
  <si>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</si>
  <si>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</si>
  <si>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</si>
  <si>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</si>
  <si>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</si>
  <si>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</si>
  <si>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</si>
  <si>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</si>
  <si>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</si>
  <si>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</si>
  <si>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</si>
  <si>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</si>
  <si>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</si>
  <si>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</si>
  <si>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</si>
  <si>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</si>
  <si>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</si>
  <si>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</si>
  <si>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</si>
  <si>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</si>
  <si>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</si>
  <si>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</si>
  <si>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</si>
  <si>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</si>
  <si>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</si>
  <si>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</si>
  <si>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</si>
  <si>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</si>
  <si>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</si>
  <si>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</si>
  <si>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</si>
  <si>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</si>
  <si>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</si>
  <si>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</si>
  <si>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</si>
  <si>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</si>
  <si>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</si>
  <si>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</si>
  <si>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</si>
  <si>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</si>
  <si>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</si>
  <si>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</si>
  <si>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</si>
  <si>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</si>
  <si>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</si>
  <si>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</si>
  <si>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</si>
  <si>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</si>
  <si>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</si>
  <si>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</si>
  <si>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</si>
  <si>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</si>
  <si>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</si>
  <si>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</si>
  <si>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</si>
  <si>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</si>
  <si>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</si>
  <si>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</si>
  <si>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</si>
  <si>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</si>
  <si>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</si>
  <si>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</si>
  <si>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</si>
  <si>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</si>
  <si>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</si>
  <si>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</si>
  <si>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</si>
  <si>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</si>
  <si>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</si>
  <si>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</si>
  <si>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</si>
  <si>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</si>
  <si>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</si>
  <si>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</si>
  <si>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</si>
  <si>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</si>
  <si>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</si>
  <si>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</si>
  <si>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</si>
  <si>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</si>
  <si>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</si>
  <si>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</si>
  <si>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</si>
  <si>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</si>
  <si>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</si>
  <si>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</si>
  <si>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</si>
  <si>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</si>
  <si>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</si>
  <si>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</si>
  <si>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</si>
  <si>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</si>
  <si>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</si>
  <si>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</si>
  <si>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</si>
  <si>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</si>
  <si>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</si>
  <si>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</si>
  <si>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</si>
  <si>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</si>
  <si>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</si>
  <si>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</si>
  <si>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</si>
  <si>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</si>
  <si>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</si>
  <si>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</si>
  <si>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</si>
  <si>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</si>
  <si>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</si>
  <si>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</si>
  <si>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</si>
  <si>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</si>
  <si>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</si>
  <si>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</si>
  <si>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</si>
  <si>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</si>
  <si>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</si>
  <si>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</si>
  <si>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</si>
  <si>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</si>
  <si>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</si>
  <si>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</si>
  <si>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</si>
  <si>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</si>
  <si>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</si>
  <si>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</si>
  <si>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</si>
  <si>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</si>
  <si>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</si>
  <si>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</si>
  <si>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</si>
  <si>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</si>
  <si>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</si>
  <si>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</si>
  <si>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</si>
  <si>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</si>
  <si>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</si>
  <si>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</si>
  <si>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</si>
  <si>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</si>
  <si>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</si>
  <si>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</si>
  <si>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</si>
  <si>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</si>
  <si>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</si>
  <si>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</si>
  <si>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</si>
  <si>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</si>
  <si>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</si>
  <si>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</si>
  <si>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</si>
  <si>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</si>
  <si>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</si>
  <si>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</si>
  <si>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</si>
  <si>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</si>
  <si>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</si>
  <si>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</si>
  <si>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</si>
  <si>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</si>
  <si>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</si>
  <si>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</si>
  <si>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</si>
  <si>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</si>
  <si>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</si>
  <si>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</si>
  <si>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</si>
  <si>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</si>
  <si>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</si>
  <si>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</si>
  <si>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</si>
  <si>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</si>
  <si>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</si>
  <si>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</si>
  <si>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</si>
  <si>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</si>
  <si>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Self:HP &lt; 100%</t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</si>
  <si>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</si>
  <si>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</si>
  <si>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</si>
  <si>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</si>
  <si>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</si>
  <si>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</si>
  <si>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</si>
  <si>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</si>
  <si>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</si>
  <si>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</si>
  <si>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</si>
  <si>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</si>
  <si>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</si>
  <si>
    <t>碰撞器中心</t>
    <phoneticPr fontId="1" type="noConversion"/>
  </si>
  <si>
    <t>DB絕對路徑：</t>
    <phoneticPr fontId="1" type="noConversion"/>
  </si>
  <si>
    <t>C:\Users\sakmo\OneDrive\文件\GitHub\uFantasy\Assets\Resources\DB\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</si>
</sst>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0" fillId="36" borderId="0" xfId="0" applyFont="1" applyFill="1">
      <alignment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4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2"/>
  <sheetViews>
    <sheetView workbookViewId="0">
      <selection activeCell="C3" sqref="C3"/>
    </sheetView>
  </sheetViews>
  <sheetFormatPr defaultColWidth="9" defaultRowHeight="14.25"/>
  <cols>
    <col min="1" max="16384" width="9" style="6"/>
  </cols>
  <sheetData>
    <row r="1" spans="2:11">
      <c r="B1" s="51" t="s">
        <v>644</v>
      </c>
      <c r="C1" s="52"/>
      <c r="D1" s="52"/>
    </row>
    <row r="2" spans="2:11">
      <c r="B2" s="59" t="s">
        <v>683</v>
      </c>
      <c r="C2" s="59" t="s">
        <v>684</v>
      </c>
      <c r="D2" s="59"/>
    </row>
    <row r="4" spans="2:11">
      <c r="B4" s="12" t="s">
        <v>10</v>
      </c>
      <c r="C4" s="12" t="s">
        <v>11</v>
      </c>
    </row>
    <row r="5" spans="2:11">
      <c r="B5" s="6">
        <v>1</v>
      </c>
      <c r="C5" s="6" t="s">
        <v>32</v>
      </c>
      <c r="D5" s="6" t="s">
        <v>62</v>
      </c>
    </row>
    <row r="6" spans="2:11">
      <c r="B6" s="6">
        <v>2</v>
      </c>
      <c r="C6" s="6" t="s">
        <v>33</v>
      </c>
      <c r="D6" s="6" t="s">
        <v>63</v>
      </c>
    </row>
    <row r="7" spans="2:11">
      <c r="B7" s="6">
        <v>3</v>
      </c>
      <c r="C7" s="6" t="s">
        <v>34</v>
      </c>
      <c r="D7" s="6" t="s">
        <v>14</v>
      </c>
    </row>
    <row r="8" spans="2:11">
      <c r="B8" s="6">
        <v>4</v>
      </c>
      <c r="C8" s="6" t="s">
        <v>35</v>
      </c>
      <c r="D8" s="6" t="s">
        <v>17</v>
      </c>
      <c r="F8" s="6" t="s">
        <v>16</v>
      </c>
      <c r="G8" s="4" t="s">
        <v>2</v>
      </c>
      <c r="H8" s="4" t="s">
        <v>7</v>
      </c>
      <c r="I8" s="4" t="s">
        <v>4</v>
      </c>
    </row>
    <row r="9" spans="2:11">
      <c r="B9" s="6">
        <v>5</v>
      </c>
      <c r="C9" s="6" t="s">
        <v>36</v>
      </c>
      <c r="D9" s="6" t="s">
        <v>18</v>
      </c>
    </row>
    <row r="10" spans="2:11">
      <c r="B10" s="6">
        <v>6</v>
      </c>
      <c r="C10" s="6" t="s">
        <v>37</v>
      </c>
      <c r="D10" s="6" t="s">
        <v>19</v>
      </c>
    </row>
    <row r="12" spans="2:11">
      <c r="B12" s="12" t="s">
        <v>20</v>
      </c>
      <c r="C12" s="12" t="s">
        <v>21</v>
      </c>
    </row>
    <row r="13" spans="2:11">
      <c r="B13" s="6">
        <v>1</v>
      </c>
      <c r="C13" s="6" t="s">
        <v>28</v>
      </c>
      <c r="D13" s="6" t="s">
        <v>69</v>
      </c>
      <c r="K13" s="6" t="s">
        <v>648</v>
      </c>
    </row>
    <row r="14" spans="2:11">
      <c r="B14" s="6">
        <v>2</v>
      </c>
      <c r="C14" s="6" t="s">
        <v>29</v>
      </c>
      <c r="D14" s="6" t="s">
        <v>60</v>
      </c>
    </row>
    <row r="15" spans="2:11">
      <c r="B15" s="6">
        <v>3</v>
      </c>
      <c r="C15" s="6" t="s">
        <v>30</v>
      </c>
      <c r="D15" s="6" t="s">
        <v>61</v>
      </c>
    </row>
    <row r="16" spans="2:11">
      <c r="B16" s="6">
        <v>4</v>
      </c>
      <c r="C16" s="6" t="s">
        <v>24</v>
      </c>
      <c r="D16" s="6" t="s">
        <v>65</v>
      </c>
    </row>
    <row r="18" spans="2:16">
      <c r="B18" s="12" t="s">
        <v>27</v>
      </c>
      <c r="C18" s="12" t="s">
        <v>31</v>
      </c>
    </row>
    <row r="19" spans="2:16">
      <c r="B19" s="6">
        <v>1</v>
      </c>
      <c r="C19" s="6" t="s">
        <v>56</v>
      </c>
      <c r="D19" s="6" t="s">
        <v>59</v>
      </c>
    </row>
    <row r="20" spans="2:16">
      <c r="B20" s="6">
        <v>2</v>
      </c>
      <c r="C20" s="6" t="s">
        <v>57</v>
      </c>
      <c r="D20" s="6" t="s">
        <v>64</v>
      </c>
    </row>
    <row r="21" spans="2:16">
      <c r="B21" s="6">
        <v>3</v>
      </c>
      <c r="C21" s="6" t="s">
        <v>58</v>
      </c>
      <c r="D21" s="6" t="s">
        <v>66</v>
      </c>
    </row>
    <row r="23" spans="2:16">
      <c r="B23" s="12" t="s">
        <v>71</v>
      </c>
      <c r="C23" s="12" t="s">
        <v>72</v>
      </c>
      <c r="D23" s="11"/>
    </row>
    <row r="24" spans="2:16">
      <c r="B24" s="6">
        <v>1</v>
      </c>
      <c r="C24" s="6" t="s">
        <v>108</v>
      </c>
      <c r="D24" s="11" t="s">
        <v>137</v>
      </c>
      <c r="E24" s="11"/>
    </row>
    <row r="25" spans="2:16">
      <c r="B25" s="6">
        <v>2</v>
      </c>
      <c r="C25" s="6" t="s">
        <v>109</v>
      </c>
      <c r="D25" s="11" t="s">
        <v>138</v>
      </c>
      <c r="E25" s="11"/>
    </row>
    <row r="26" spans="2:16">
      <c r="B26" s="6">
        <v>3</v>
      </c>
      <c r="C26" s="6" t="s">
        <v>110</v>
      </c>
      <c r="D26" s="11" t="s">
        <v>141</v>
      </c>
      <c r="E26" s="11"/>
    </row>
    <row r="27" spans="2:16">
      <c r="B27" s="6">
        <v>4</v>
      </c>
      <c r="C27" s="6" t="s">
        <v>111</v>
      </c>
      <c r="D27" s="11" t="s">
        <v>142</v>
      </c>
      <c r="E27" s="11"/>
    </row>
    <row r="28" spans="2:16">
      <c r="B28" s="6">
        <v>5</v>
      </c>
      <c r="C28" s="6" t="s">
        <v>112</v>
      </c>
      <c r="D28" s="11" t="s">
        <v>139</v>
      </c>
      <c r="E28" s="11"/>
    </row>
    <row r="29" spans="2:16">
      <c r="B29" s="6">
        <v>6</v>
      </c>
      <c r="C29" s="6" t="s">
        <v>113</v>
      </c>
      <c r="D29" s="11" t="s">
        <v>143</v>
      </c>
      <c r="E29" s="11"/>
    </row>
    <row r="30" spans="2:16">
      <c r="B30" s="6">
        <v>7</v>
      </c>
      <c r="C30" s="6" t="s">
        <v>114</v>
      </c>
      <c r="D30" s="11" t="s">
        <v>140</v>
      </c>
      <c r="E30" s="11"/>
    </row>
    <row r="31" spans="2:16">
      <c r="D31" s="11"/>
      <c r="E31" s="11"/>
    </row>
    <row r="32" spans="2:16" ht="16.5">
      <c r="B32" s="12" t="s">
        <v>144</v>
      </c>
      <c r="C32" s="12" t="s">
        <v>145</v>
      </c>
      <c r="D32" s="11"/>
      <c r="E32" s="11"/>
      <c r="L32" s="10" t="s">
        <v>129</v>
      </c>
      <c r="M32"/>
      <c r="N32"/>
      <c r="O32"/>
      <c r="P32"/>
    </row>
    <row r="33" spans="2:16" ht="16.5">
      <c r="B33" s="6">
        <v>1</v>
      </c>
      <c r="C33" s="6" t="s">
        <v>146</v>
      </c>
      <c r="D33" s="11" t="s">
        <v>151</v>
      </c>
      <c r="E33" s="11"/>
      <c r="L33" s="10" t="s">
        <v>130</v>
      </c>
      <c r="M33"/>
      <c r="N33"/>
      <c r="O33"/>
      <c r="P33"/>
    </row>
    <row r="34" spans="2:16" ht="16.5">
      <c r="B34" s="6">
        <v>2</v>
      </c>
      <c r="C34" s="6" t="s">
        <v>147</v>
      </c>
      <c r="D34" s="11" t="s">
        <v>150</v>
      </c>
      <c r="L34" s="10" t="s">
        <v>131</v>
      </c>
      <c r="M34"/>
      <c r="N34"/>
      <c r="O34"/>
      <c r="P34"/>
    </row>
    <row r="35" spans="2:16" ht="14.25" customHeight="1">
      <c r="B35" s="6">
        <v>3</v>
      </c>
      <c r="C35" s="6" t="s">
        <v>148</v>
      </c>
      <c r="D35" s="13" t="s">
        <v>152</v>
      </c>
      <c r="E35" s="13"/>
      <c r="F35" s="13"/>
      <c r="G35" s="13"/>
      <c r="H35" s="13"/>
      <c r="I35" s="13"/>
      <c r="J35" s="13"/>
      <c r="K35" s="13"/>
      <c r="L35" s="10" t="s">
        <v>132</v>
      </c>
      <c r="M35" s="10" t="s">
        <v>134</v>
      </c>
      <c r="N35"/>
      <c r="O35"/>
      <c r="P35"/>
    </row>
    <row r="36" spans="2:16" ht="14.25" customHeight="1">
      <c r="B36" s="6">
        <v>4</v>
      </c>
      <c r="C36" s="6" t="s">
        <v>149</v>
      </c>
      <c r="D36" s="13"/>
      <c r="E36" s="13"/>
      <c r="F36" s="13"/>
      <c r="G36" s="13"/>
      <c r="H36" s="13"/>
      <c r="I36" s="13"/>
      <c r="J36" s="13"/>
      <c r="K36" s="13"/>
      <c r="L36"/>
      <c r="M36" s="10" t="s">
        <v>133</v>
      </c>
      <c r="N36"/>
      <c r="O36"/>
      <c r="P36"/>
    </row>
    <row r="37" spans="2:16" ht="16.5">
      <c r="L37"/>
      <c r="M37" s="10" t="s">
        <v>135</v>
      </c>
      <c r="N37"/>
      <c r="O37"/>
      <c r="P37"/>
    </row>
    <row r="38" spans="2:16" ht="16.5">
      <c r="C38" s="6" t="s">
        <v>599</v>
      </c>
      <c r="D38" s="6" t="s">
        <v>600</v>
      </c>
      <c r="L38"/>
      <c r="M38" s="10" t="s">
        <v>136</v>
      </c>
      <c r="N38"/>
      <c r="O38"/>
      <c r="P38"/>
    </row>
    <row r="42" spans="2:16">
      <c r="B42" s="12" t="s">
        <v>187</v>
      </c>
      <c r="C42" s="17" t="s">
        <v>188</v>
      </c>
    </row>
  </sheetData>
  <phoneticPr fontId="1" type="noConversion"/>
  <hyperlinks>
    <hyperlink ref="D35:K36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workbookViewId="0">
      <selection activeCell="K14" sqref="K14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60" t="s">
        <v>295</v>
      </c>
      <c r="G9" s="42" t="s">
        <v>190</v>
      </c>
      <c r="H9" s="33" t="s">
        <v>602</v>
      </c>
      <c r="I9" s="60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60"/>
      <c r="G10" s="42" t="s">
        <v>190</v>
      </c>
      <c r="H10" s="33" t="s">
        <v>603</v>
      </c>
      <c r="I10" s="60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60"/>
      <c r="G11" s="42" t="s">
        <v>190</v>
      </c>
      <c r="H11" s="33" t="s">
        <v>604</v>
      </c>
      <c r="I11" s="60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60"/>
      <c r="G12" s="42" t="s">
        <v>190</v>
      </c>
      <c r="H12" s="33" t="s">
        <v>605</v>
      </c>
      <c r="I12" s="60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60"/>
      <c r="G13" s="42" t="s">
        <v>190</v>
      </c>
      <c r="H13" s="33" t="s">
        <v>606</v>
      </c>
      <c r="I13" s="60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60"/>
      <c r="G14" s="42" t="s">
        <v>190</v>
      </c>
      <c r="H14" s="33" t="s">
        <v>607</v>
      </c>
      <c r="I14" s="60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60"/>
      <c r="G15" s="42" t="s">
        <v>190</v>
      </c>
      <c r="H15" s="33" t="s">
        <v>608</v>
      </c>
      <c r="I15" s="60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60"/>
      <c r="G16" s="42" t="s">
        <v>190</v>
      </c>
      <c r="H16" s="33" t="s">
        <v>609</v>
      </c>
      <c r="I16" s="60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60"/>
      <c r="G17" s="42" t="s">
        <v>190</v>
      </c>
      <c r="H17" s="33" t="s">
        <v>610</v>
      </c>
      <c r="I17" s="60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60"/>
      <c r="G18" s="42" t="s">
        <v>190</v>
      </c>
      <c r="H18" s="33" t="s">
        <v>611</v>
      </c>
      <c r="I18" s="60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60" t="s">
        <v>297</v>
      </c>
      <c r="G19" s="42"/>
      <c r="H19" s="33" t="s">
        <v>612</v>
      </c>
      <c r="I19" s="60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60"/>
      <c r="G20" s="42"/>
      <c r="H20" s="33" t="s">
        <v>613</v>
      </c>
      <c r="I20" s="60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60"/>
      <c r="G21" s="42"/>
      <c r="H21" s="33" t="s">
        <v>614</v>
      </c>
      <c r="I21" s="60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60"/>
      <c r="G22" s="42"/>
      <c r="H22" s="33" t="s">
        <v>615</v>
      </c>
      <c r="I22" s="60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60"/>
      <c r="G23" s="42"/>
      <c r="H23" s="33" t="s">
        <v>616</v>
      </c>
      <c r="I23" s="60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60"/>
      <c r="G24" s="42"/>
      <c r="H24" s="33" t="s">
        <v>617</v>
      </c>
      <c r="I24" s="60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60"/>
      <c r="G25" s="42"/>
      <c r="H25" s="33" t="s">
        <v>618</v>
      </c>
      <c r="I25" s="60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60"/>
      <c r="G26" s="42"/>
      <c r="H26" s="33" t="s">
        <v>619</v>
      </c>
      <c r="I26" s="60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60"/>
      <c r="G27" s="42"/>
      <c r="H27" s="33" t="s">
        <v>620</v>
      </c>
      <c r="I27" s="60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60"/>
      <c r="G28" s="42"/>
      <c r="H28" s="33" t="s">
        <v>621</v>
      </c>
      <c r="I28" s="60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.25" thickBot="1">
      <c r="E122" s="5"/>
      <c r="F122" s="5"/>
      <c r="J122" s="47"/>
      <c r="K122" s="20" t="s">
        <v>528</v>
      </c>
      <c r="L122" s="23"/>
    </row>
    <row r="123" spans="1:12" ht="17.25" thickBot="1">
      <c r="E123" s="5"/>
      <c r="F123" s="5"/>
      <c r="J123" s="47"/>
      <c r="K123" s="20" t="s">
        <v>529</v>
      </c>
      <c r="L123" s="21" t="s">
        <v>530</v>
      </c>
    </row>
    <row r="124" spans="1:12" ht="17.25" thickBot="1">
      <c r="E124" s="5"/>
      <c r="F124" s="5"/>
      <c r="J124" s="47"/>
      <c r="K124" s="20" t="s">
        <v>531</v>
      </c>
      <c r="L124" s="22"/>
    </row>
    <row r="125" spans="1:12" ht="17.25" thickBot="1">
      <c r="E125" s="5"/>
      <c r="F125" s="5"/>
      <c r="J125" s="47"/>
      <c r="K125" s="20" t="s">
        <v>532</v>
      </c>
      <c r="L125" s="22"/>
    </row>
    <row r="126" spans="1:12" ht="17.25" thickBot="1">
      <c r="E126" s="5"/>
      <c r="F126" s="5"/>
      <c r="J126" s="47"/>
      <c r="K126" s="20" t="s">
        <v>533</v>
      </c>
      <c r="L126" s="22"/>
    </row>
    <row r="127" spans="1:12" ht="17.25" thickBot="1">
      <c r="E127" s="5"/>
      <c r="F127" s="5"/>
      <c r="J127" s="47"/>
      <c r="K127" s="20" t="s">
        <v>534</v>
      </c>
      <c r="L127" s="23"/>
    </row>
    <row r="128" spans="1:12" ht="17.25" thickBot="1">
      <c r="E128" s="5"/>
      <c r="F128" s="5"/>
      <c r="J128" s="47"/>
      <c r="K128" s="20" t="s">
        <v>535</v>
      </c>
      <c r="L128" s="21" t="s">
        <v>536</v>
      </c>
    </row>
    <row r="129" spans="5:12" ht="17.25" thickBot="1">
      <c r="E129" s="5"/>
      <c r="F129" s="5"/>
      <c r="J129" s="47"/>
      <c r="K129" s="20" t="s">
        <v>537</v>
      </c>
      <c r="L129" s="22"/>
    </row>
    <row r="130" spans="5:12" ht="17.25" thickBot="1">
      <c r="E130" s="5"/>
      <c r="F130" s="5"/>
      <c r="J130" s="47"/>
      <c r="K130" s="20" t="s">
        <v>538</v>
      </c>
      <c r="L130" s="22"/>
    </row>
    <row r="131" spans="5:12" ht="17.25" thickBot="1">
      <c r="E131" s="5"/>
      <c r="F131" s="5"/>
      <c r="J131" s="47"/>
      <c r="K131" s="20" t="s">
        <v>539</v>
      </c>
      <c r="L131" s="22"/>
    </row>
    <row r="132" spans="5:12" ht="17.25" thickBot="1">
      <c r="E132" s="5"/>
      <c r="F132" s="5"/>
      <c r="J132" s="47"/>
      <c r="K132" s="20" t="s">
        <v>540</v>
      </c>
      <c r="L132" s="23"/>
    </row>
    <row r="133" spans="5:12" ht="17.25" thickBot="1">
      <c r="E133" s="5"/>
      <c r="F133" s="5"/>
      <c r="J133" s="48"/>
      <c r="K133" s="19" t="s">
        <v>541</v>
      </c>
      <c r="L133" s="19" t="s">
        <v>542</v>
      </c>
    </row>
    <row r="134" spans="5:12" ht="17.25" thickBot="1">
      <c r="E134" s="5"/>
      <c r="F134" s="5"/>
      <c r="J134" s="48"/>
      <c r="K134" s="19" t="s">
        <v>543</v>
      </c>
      <c r="L134" s="19" t="s">
        <v>544</v>
      </c>
    </row>
    <row r="135" spans="5:12" ht="17.25" thickBot="1">
      <c r="E135" s="5"/>
      <c r="F135" s="5"/>
      <c r="J135" s="48"/>
      <c r="K135" s="19" t="s">
        <v>545</v>
      </c>
      <c r="L135" s="19" t="s">
        <v>546</v>
      </c>
    </row>
    <row r="136" spans="5:12" ht="17.25" thickBot="1">
      <c r="E136" s="5"/>
      <c r="F136" s="5"/>
      <c r="J136" s="48"/>
      <c r="K136" s="19" t="s">
        <v>547</v>
      </c>
      <c r="L136" s="19" t="s">
        <v>548</v>
      </c>
    </row>
    <row r="137" spans="5:12" ht="17.25" thickBot="1">
      <c r="E137" s="5"/>
      <c r="F137" s="5"/>
      <c r="J137" s="48"/>
      <c r="K137" s="19" t="s">
        <v>549</v>
      </c>
      <c r="L137" s="19" t="s">
        <v>550</v>
      </c>
    </row>
    <row r="138" spans="5:12" ht="17.25" thickBot="1">
      <c r="E138" s="5"/>
      <c r="F138" s="5"/>
      <c r="J138" s="48"/>
      <c r="K138" s="19" t="s">
        <v>551</v>
      </c>
      <c r="L138" s="19" t="s">
        <v>552</v>
      </c>
    </row>
    <row r="139" spans="5:12" ht="17.25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3"/>
  <sheetViews>
    <sheetView tabSelected="1" workbookViewId="0">
      <selection activeCell="H11" sqref="H11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 t="s">
        <v>39</v>
      </c>
      <c r="O1" s="1" t="s">
        <v>39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  <c r="Q2" s="7" t="s">
        <v>671</v>
      </c>
    </row>
    <row r="3" spans="1:17" ht="17.25" customHeight="1">
      <c r="A3" s="2">
        <v>10001</v>
      </c>
      <c r="B3" s="3" t="s">
        <v>67</v>
      </c>
      <c r="C3" s="3">
        <v>1010100</v>
      </c>
      <c r="D3" s="3" t="s">
        <v>16</v>
      </c>
      <c r="E3" s="3">
        <v>33</v>
      </c>
      <c r="F3" s="24">
        <v>10001</v>
      </c>
      <c r="G3" s="24">
        <v>5</v>
      </c>
      <c r="H3" s="3">
        <v>0</v>
      </c>
      <c r="I3" s="3">
        <v>0</v>
      </c>
      <c r="J3" s="3">
        <v>10</v>
      </c>
      <c r="K3" s="3">
        <v>1</v>
      </c>
      <c r="L3" s="3">
        <v>1</v>
      </c>
      <c r="M3" s="3">
        <v>2</v>
      </c>
      <c r="N3" s="3">
        <v>1</v>
      </c>
      <c r="O3" s="3">
        <v>1</v>
      </c>
      <c r="Q3" s="2" t="s">
        <v>680</v>
      </c>
    </row>
    <row r="4" spans="1:17">
      <c r="A4" s="2">
        <v>10002</v>
      </c>
      <c r="B4" s="3" t="s">
        <v>68</v>
      </c>
      <c r="C4" s="3">
        <v>1010200</v>
      </c>
      <c r="D4" s="3" t="s">
        <v>16</v>
      </c>
      <c r="E4" s="3">
        <v>28</v>
      </c>
      <c r="F4" s="24">
        <v>10002</v>
      </c>
      <c r="G4" s="24">
        <v>5</v>
      </c>
      <c r="H4" s="3">
        <v>0</v>
      </c>
      <c r="I4" s="3">
        <v>0</v>
      </c>
      <c r="J4" s="3">
        <v>10</v>
      </c>
      <c r="K4" s="3">
        <v>1</v>
      </c>
      <c r="L4" s="3">
        <v>1</v>
      </c>
      <c r="M4" s="3">
        <v>2</v>
      </c>
      <c r="N4" s="3">
        <v>1</v>
      </c>
      <c r="O4" s="3">
        <v>1</v>
      </c>
      <c r="Q4" s="2" t="s">
        <v>672</v>
      </c>
    </row>
    <row r="5" spans="1:17">
      <c r="A5" s="2">
        <v>10003</v>
      </c>
      <c r="B5" s="3" t="s">
        <v>625</v>
      </c>
      <c r="C5" s="3">
        <v>1010200</v>
      </c>
      <c r="D5" s="3" t="s">
        <v>16</v>
      </c>
      <c r="E5" s="3">
        <v>25</v>
      </c>
      <c r="F5" s="24">
        <v>10003</v>
      </c>
      <c r="G5" s="24">
        <v>5</v>
      </c>
      <c r="H5" s="3">
        <v>0</v>
      </c>
      <c r="I5" s="3">
        <v>0</v>
      </c>
      <c r="J5" s="3">
        <v>10</v>
      </c>
      <c r="K5" s="3">
        <v>1</v>
      </c>
      <c r="L5" s="3">
        <v>1</v>
      </c>
      <c r="M5" s="3">
        <v>2</v>
      </c>
      <c r="N5" s="3">
        <v>1</v>
      </c>
      <c r="O5" s="3">
        <v>1</v>
      </c>
      <c r="Q5" s="2" t="s">
        <v>673</v>
      </c>
    </row>
    <row r="6" spans="1:17">
      <c r="A6" s="2">
        <v>10004</v>
      </c>
      <c r="B6" s="3" t="s">
        <v>670</v>
      </c>
      <c r="C6" s="3">
        <v>1010300</v>
      </c>
      <c r="D6" s="15" t="s">
        <v>16</v>
      </c>
      <c r="E6" s="3">
        <v>25</v>
      </c>
      <c r="F6" s="24">
        <v>99999</v>
      </c>
      <c r="G6" s="24">
        <v>5</v>
      </c>
      <c r="H6" s="3">
        <v>0</v>
      </c>
      <c r="I6" s="3">
        <v>0</v>
      </c>
      <c r="J6" s="3">
        <v>10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675</v>
      </c>
    </row>
    <row r="7" spans="1:17">
      <c r="A7" s="2">
        <v>50001</v>
      </c>
      <c r="B7" s="3" t="s">
        <v>1</v>
      </c>
      <c r="C7" s="3">
        <v>2010100</v>
      </c>
      <c r="D7" s="3" t="s">
        <v>674</v>
      </c>
      <c r="E7" s="3">
        <v>20</v>
      </c>
      <c r="F7" s="24">
        <v>60001</v>
      </c>
      <c r="G7" s="24">
        <v>5</v>
      </c>
      <c r="H7" s="3">
        <v>0</v>
      </c>
      <c r="I7" s="3">
        <v>0</v>
      </c>
      <c r="J7" s="3">
        <v>10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677</v>
      </c>
    </row>
    <row r="8" spans="1:17">
      <c r="A8" s="2">
        <v>50002</v>
      </c>
      <c r="B8" s="3" t="s">
        <v>3</v>
      </c>
      <c r="C8" s="3">
        <v>2010110</v>
      </c>
      <c r="D8" s="3" t="s">
        <v>674</v>
      </c>
      <c r="E8" s="3">
        <v>20</v>
      </c>
      <c r="F8" s="24">
        <v>60001</v>
      </c>
      <c r="G8" s="24">
        <v>2</v>
      </c>
      <c r="H8" s="3">
        <v>0</v>
      </c>
      <c r="I8" s="3">
        <v>0</v>
      </c>
      <c r="J8" s="3">
        <v>10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679</v>
      </c>
    </row>
    <row r="9" spans="1:17">
      <c r="A9" s="2">
        <v>50003</v>
      </c>
      <c r="B9" s="3" t="s">
        <v>8</v>
      </c>
      <c r="C9" s="3">
        <v>2010120</v>
      </c>
      <c r="D9" s="3" t="s">
        <v>674</v>
      </c>
      <c r="E9" s="3">
        <v>10</v>
      </c>
      <c r="F9" s="24">
        <v>60001</v>
      </c>
      <c r="G9" s="24">
        <v>5</v>
      </c>
      <c r="H9" s="3">
        <v>0</v>
      </c>
      <c r="I9" s="3">
        <v>0</v>
      </c>
      <c r="J9" s="3">
        <v>10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Q9" s="2" t="s">
        <v>681</v>
      </c>
    </row>
    <row r="10" spans="1:17">
      <c r="A10" s="2">
        <v>50004</v>
      </c>
      <c r="B10" s="3" t="s">
        <v>5</v>
      </c>
      <c r="C10" s="3">
        <v>2010200</v>
      </c>
      <c r="D10" s="3" t="s">
        <v>674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10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676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10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50006</v>
      </c>
      <c r="B12" s="3" t="s">
        <v>643</v>
      </c>
      <c r="C12" s="3">
        <v>2010220</v>
      </c>
      <c r="D12" s="3" t="s">
        <v>678</v>
      </c>
      <c r="E12" s="3">
        <v>99</v>
      </c>
      <c r="F12" s="24">
        <v>60002</v>
      </c>
      <c r="G12" s="24">
        <v>5</v>
      </c>
      <c r="H12" s="3">
        <v>0</v>
      </c>
      <c r="I12" s="3">
        <v>0</v>
      </c>
      <c r="J12" s="3">
        <v>10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  <row r="13" spans="1:17">
      <c r="A13" s="2">
        <v>99999</v>
      </c>
      <c r="B13" s="3" t="s">
        <v>166</v>
      </c>
      <c r="C13" s="3">
        <v>9990100</v>
      </c>
      <c r="D13" s="3" t="s">
        <v>674</v>
      </c>
      <c r="E13" s="3">
        <v>99</v>
      </c>
      <c r="F13" s="24">
        <v>10001</v>
      </c>
      <c r="G13" s="24">
        <v>5</v>
      </c>
      <c r="H13" s="3">
        <v>0</v>
      </c>
      <c r="I13" s="3">
        <v>0</v>
      </c>
      <c r="J13" s="3">
        <v>10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 xr:uid="{BC20E9FE-46F3-4FE2-9083-69A01EB53D99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2"/>
  <sheetViews>
    <sheetView workbookViewId="0">
      <selection activeCell="I27" sqref="I27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1010300</v>
      </c>
      <c r="B5" s="3" t="s">
        <v>159</v>
      </c>
      <c r="C5" s="15"/>
      <c r="D5" s="3">
        <v>2</v>
      </c>
      <c r="F5" s="3"/>
    </row>
    <row r="6" spans="1:6">
      <c r="A6" s="3">
        <v>2010100</v>
      </c>
      <c r="B6" s="3" t="s">
        <v>160</v>
      </c>
      <c r="C6" s="3" t="s">
        <v>161</v>
      </c>
      <c r="D6" s="3">
        <v>1</v>
      </c>
      <c r="F6" s="3"/>
    </row>
    <row r="7" spans="1:6">
      <c r="A7" s="3">
        <v>2010110</v>
      </c>
      <c r="B7" s="3" t="s">
        <v>160</v>
      </c>
      <c r="C7" s="3" t="s">
        <v>161</v>
      </c>
      <c r="D7" s="3">
        <v>1.5</v>
      </c>
      <c r="F7" s="3"/>
    </row>
    <row r="8" spans="1:6">
      <c r="A8" s="3">
        <v>2010120</v>
      </c>
      <c r="B8" s="3" t="s">
        <v>160</v>
      </c>
      <c r="C8" s="3" t="s">
        <v>162</v>
      </c>
      <c r="D8" s="3">
        <v>2</v>
      </c>
      <c r="F8" s="3"/>
    </row>
    <row r="9" spans="1:6">
      <c r="A9" s="3">
        <v>2010200</v>
      </c>
      <c r="B9" s="3" t="s">
        <v>160</v>
      </c>
      <c r="C9" s="3" t="s">
        <v>163</v>
      </c>
      <c r="D9" s="3">
        <v>1</v>
      </c>
      <c r="F9" s="3"/>
    </row>
    <row r="10" spans="1:6">
      <c r="A10" s="3">
        <v>2010210</v>
      </c>
      <c r="B10" s="3" t="s">
        <v>160</v>
      </c>
      <c r="C10" s="3" t="s">
        <v>163</v>
      </c>
      <c r="D10" s="3">
        <v>1.5</v>
      </c>
      <c r="F10" s="3"/>
    </row>
    <row r="11" spans="1:6">
      <c r="A11" s="3">
        <v>2010220</v>
      </c>
      <c r="B11" s="3" t="s">
        <v>160</v>
      </c>
      <c r="C11" s="3" t="s">
        <v>164</v>
      </c>
      <c r="D11" s="3">
        <v>2</v>
      </c>
      <c r="F11" s="3"/>
    </row>
    <row r="12" spans="1:6">
      <c r="A12" s="3">
        <v>9990100</v>
      </c>
      <c r="B12" s="3" t="s">
        <v>167</v>
      </c>
      <c r="C12" s="15"/>
      <c r="D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N4"/>
  <sheetViews>
    <sheetView workbookViewId="0">
      <selection activeCell="D5" sqref="D5"/>
    </sheetView>
  </sheetViews>
  <sheetFormatPr defaultRowHeight="16.5"/>
  <cols>
    <col min="5" max="5" width="9.75" bestFit="1" customWidth="1"/>
  </cols>
  <sheetData>
    <row r="1" spans="1:14">
      <c r="A1" s="1">
        <v>1</v>
      </c>
      <c r="B1" s="1">
        <v>2</v>
      </c>
      <c r="C1" s="1">
        <v>3</v>
      </c>
      <c r="D1" s="1">
        <v>4</v>
      </c>
      <c r="E1" s="1">
        <v>5</v>
      </c>
      <c r="G1" s="5" t="s">
        <v>44</v>
      </c>
      <c r="H1" s="5" t="s">
        <v>45</v>
      </c>
      <c r="I1" s="5" t="s">
        <v>47</v>
      </c>
      <c r="J1" s="5" t="s">
        <v>48</v>
      </c>
      <c r="K1" s="5" t="s">
        <v>49</v>
      </c>
      <c r="L1" s="5" t="s">
        <v>51</v>
      </c>
      <c r="M1" s="5" t="s">
        <v>53</v>
      </c>
      <c r="N1" s="5" t="s">
        <v>55</v>
      </c>
    </row>
    <row r="2" spans="1:14">
      <c r="A2" s="1" t="s">
        <v>22</v>
      </c>
      <c r="B2" s="1" t="s">
        <v>38</v>
      </c>
      <c r="C2" s="1" t="s">
        <v>158</v>
      </c>
      <c r="D2" s="1" t="s">
        <v>682</v>
      </c>
      <c r="E2" s="1" t="s">
        <v>157</v>
      </c>
      <c r="G2" s="1" t="s">
        <v>40</v>
      </c>
      <c r="H2" s="1" t="s">
        <v>46</v>
      </c>
      <c r="I2" s="1" t="s">
        <v>41</v>
      </c>
      <c r="J2" s="1" t="s">
        <v>43</v>
      </c>
      <c r="K2" s="1" t="s">
        <v>42</v>
      </c>
      <c r="L2" s="1" t="s">
        <v>50</v>
      </c>
      <c r="M2" s="1" t="s">
        <v>52</v>
      </c>
      <c r="N2" s="1" t="s">
        <v>54</v>
      </c>
    </row>
    <row r="3" spans="1:14">
      <c r="A3" s="57" t="s">
        <v>159</v>
      </c>
      <c r="B3" s="50">
        <v>1</v>
      </c>
      <c r="C3" s="58">
        <v>5</v>
      </c>
      <c r="D3" s="58">
        <v>10</v>
      </c>
      <c r="E3" s="58">
        <v>20</v>
      </c>
    </row>
    <row r="4" spans="1:14">
      <c r="A4" s="57" t="s">
        <v>160</v>
      </c>
      <c r="B4" s="50">
        <v>1</v>
      </c>
      <c r="C4" s="58">
        <v>5</v>
      </c>
      <c r="D4" s="58">
        <v>5</v>
      </c>
      <c r="E4" s="58">
        <v>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workbookViewId="0">
      <selection activeCell="Y13" sqref="Y13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D229"/>
  <sheetViews>
    <sheetView workbookViewId="0">
      <selection activeCell="L18" sqref="L18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"/>
      <c r="F3" s="34" t="s">
        <v>669</v>
      </c>
      <c r="G3" s="49" t="s">
        <v>654</v>
      </c>
      <c r="H3" s="55"/>
      <c r="J3" s="55" t="s">
        <v>668</v>
      </c>
      <c r="K3" s="49" t="s">
        <v>667</v>
      </c>
      <c r="L3" s="55" t="s">
        <v>669</v>
      </c>
      <c r="M3" s="49" t="s">
        <v>654</v>
      </c>
      <c r="N3" s="55"/>
      <c r="P3" s="55"/>
      <c r="R3" s="55"/>
      <c r="T3" s="55"/>
      <c r="V3" s="55"/>
      <c r="X3" s="55"/>
      <c r="Z3" s="55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"/>
      <c r="F4" s="34" t="s">
        <v>649</v>
      </c>
      <c r="G4" s="49" t="s">
        <v>654</v>
      </c>
      <c r="H4" s="55"/>
      <c r="J4" s="55" t="s">
        <v>668</v>
      </c>
      <c r="K4" s="49" t="s">
        <v>667</v>
      </c>
      <c r="L4" s="55" t="s">
        <v>669</v>
      </c>
      <c r="M4" s="49" t="s">
        <v>654</v>
      </c>
      <c r="N4" s="55"/>
      <c r="P4" s="55"/>
      <c r="R4" s="55"/>
      <c r="T4" s="55"/>
      <c r="V4" s="55"/>
      <c r="X4" s="55"/>
      <c r="Z4" s="55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669</v>
      </c>
      <c r="G5" s="49" t="s">
        <v>654</v>
      </c>
      <c r="H5" s="55"/>
      <c r="I5" s="55"/>
      <c r="J5" s="55"/>
      <c r="K5" s="55"/>
      <c r="L5" s="55"/>
      <c r="N5" s="55"/>
      <c r="P5" s="55"/>
      <c r="R5" s="55"/>
      <c r="T5" s="55"/>
      <c r="V5" s="55"/>
      <c r="X5" s="55"/>
      <c r="Z5" s="55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669</v>
      </c>
      <c r="G6" s="49" t="s">
        <v>654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669</v>
      </c>
      <c r="G8" s="49" t="s">
        <v>654</v>
      </c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669</v>
      </c>
      <c r="G9" s="49" t="s">
        <v>654</v>
      </c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669</v>
      </c>
      <c r="G10" s="49" t="s">
        <v>654</v>
      </c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669</v>
      </c>
      <c r="G11" s="49" t="s">
        <v>654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669</v>
      </c>
      <c r="G12" s="49" t="s">
        <v>654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669</v>
      </c>
      <c r="G13" s="49" t="s">
        <v>654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669</v>
      </c>
      <c r="G14" s="49" t="s">
        <v>654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669</v>
      </c>
      <c r="G15" s="49" t="s">
        <v>654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669</v>
      </c>
      <c r="G16" s="49" t="s">
        <v>654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669</v>
      </c>
      <c r="G17" s="49" t="s">
        <v>654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669</v>
      </c>
      <c r="G18" s="49" t="s">
        <v>654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669</v>
      </c>
      <c r="G19" s="49" t="s">
        <v>654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669</v>
      </c>
      <c r="G20" s="49" t="s">
        <v>654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669</v>
      </c>
      <c r="G21" s="49" t="s">
        <v>654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222</v>
      </c>
    </row>
    <row r="22" spans="1:30">
      <c r="A22" s="24">
        <v>99999</v>
      </c>
      <c r="B22" s="24">
        <v>10</v>
      </c>
      <c r="C22" s="24">
        <v>10</v>
      </c>
      <c r="F22" s="55" t="s">
        <v>669</v>
      </c>
      <c r="G22" s="49" t="s">
        <v>654</v>
      </c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.25" thickBot="1">
      <c r="AD219" s="20" t="s">
        <v>528</v>
      </c>
    </row>
    <row r="220" spans="30:30" ht="17.25" thickBot="1">
      <c r="AD220" s="20" t="s">
        <v>529</v>
      </c>
    </row>
    <row r="221" spans="30:30" ht="17.25" thickBot="1">
      <c r="AD221" s="20" t="s">
        <v>531</v>
      </c>
    </row>
    <row r="222" spans="30:30" ht="17.25" thickBot="1">
      <c r="AD222" s="20" t="s">
        <v>532</v>
      </c>
    </row>
    <row r="223" spans="30:30" ht="17.25" thickBot="1">
      <c r="AD223" s="20" t="s">
        <v>533</v>
      </c>
    </row>
    <row r="224" spans="30:30" ht="17.25" thickBot="1">
      <c r="AD224" s="20" t="s">
        <v>534</v>
      </c>
    </row>
    <row r="225" spans="30:30" ht="17.25" thickBot="1">
      <c r="AD225" s="20" t="s">
        <v>535</v>
      </c>
    </row>
    <row r="226" spans="30:30" ht="17.25" thickBot="1">
      <c r="AD226" s="20" t="s">
        <v>537</v>
      </c>
    </row>
    <row r="227" spans="30:30" ht="17.25" thickBot="1">
      <c r="AD227" s="20" t="s">
        <v>538</v>
      </c>
    </row>
    <row r="228" spans="30:30" ht="17.25" thickBot="1">
      <c r="AD228" s="20" t="s">
        <v>539</v>
      </c>
    </row>
    <row r="229" spans="30:30" ht="17.25" thickBot="1">
      <c r="AD229" s="20" t="s">
        <v>540</v>
      </c>
    </row>
  </sheetData>
  <phoneticPr fontId="1" type="noConversion"/>
  <conditionalFormatting sqref="D8:D1048576 H8:H1048576 H6 F8:F10 F3 F5:F6">
    <cfRule type="expression" dxfId="53" priority="55">
      <formula>ISNUMBER(FIND("Self:",D3))</formula>
    </cfRule>
    <cfRule type="expression" dxfId="52" priority="56">
      <formula>ISNUMBER(FIND("Ally:",D3))</formula>
    </cfRule>
    <cfRule type="expression" dxfId="51" priority="57">
      <formula>ISNUMBER(FIND("Foe:",D3))</formula>
    </cfRule>
  </conditionalFormatting>
  <conditionalFormatting sqref="F23:F1048576">
    <cfRule type="expression" dxfId="50" priority="52">
      <formula>ISNUMBER(FIND("Self:",F23))</formula>
    </cfRule>
    <cfRule type="expression" dxfId="49" priority="53">
      <formula>ISNUMBER(FIND("Ally:",F23))</formula>
    </cfRule>
    <cfRule type="expression" dxfId="48" priority="54">
      <formula>ISNUMBER(FIND("Foe:",F23))</formula>
    </cfRule>
  </conditionalFormatting>
  <conditionalFormatting sqref="H3:H4">
    <cfRule type="expression" dxfId="47" priority="49">
      <formula>ISNUMBER(FIND("Self:",H3))</formula>
    </cfRule>
    <cfRule type="expression" dxfId="46" priority="50">
      <formula>ISNUMBER(FIND("Ally:",H3))</formula>
    </cfRule>
    <cfRule type="expression" dxfId="45" priority="51">
      <formula>ISNUMBER(FIND("Foe:",H3))</formula>
    </cfRule>
  </conditionalFormatting>
  <conditionalFormatting sqref="J3:J4 J6:J1048576">
    <cfRule type="expression" dxfId="44" priority="46">
      <formula>ISNUMBER(FIND("Self:",J3))</formula>
    </cfRule>
    <cfRule type="expression" dxfId="43" priority="47">
      <formula>ISNUMBER(FIND("Ally:",J3))</formula>
    </cfRule>
    <cfRule type="expression" dxfId="42" priority="48">
      <formula>ISNUMBER(FIND("Foe:",J3))</formula>
    </cfRule>
  </conditionalFormatting>
  <conditionalFormatting sqref="L3:L4 L6:L1048576">
    <cfRule type="expression" dxfId="41" priority="43">
      <formula>ISNUMBER(FIND("Self:",L3))</formula>
    </cfRule>
    <cfRule type="expression" dxfId="40" priority="44">
      <formula>ISNUMBER(FIND("Ally:",L3))</formula>
    </cfRule>
    <cfRule type="expression" dxfId="39" priority="45">
      <formula>ISNUMBER(FIND("Foe:",L3))</formula>
    </cfRule>
  </conditionalFormatting>
  <conditionalFormatting sqref="N3:N1048576">
    <cfRule type="expression" dxfId="38" priority="40">
      <formula>ISNUMBER(FIND("Self:",N3))</formula>
    </cfRule>
    <cfRule type="expression" dxfId="37" priority="41">
      <formula>ISNUMBER(FIND("Ally:",N3))</formula>
    </cfRule>
    <cfRule type="expression" dxfId="36" priority="42">
      <formula>ISNUMBER(FIND("Foe:",N3))</formula>
    </cfRule>
  </conditionalFormatting>
  <conditionalFormatting sqref="P3:P1048576">
    <cfRule type="expression" dxfId="35" priority="37">
      <formula>ISNUMBER(FIND("Self:",P3))</formula>
    </cfRule>
    <cfRule type="expression" dxfId="34" priority="38">
      <formula>ISNUMBER(FIND("Ally:",P3))</formula>
    </cfRule>
    <cfRule type="expression" dxfId="33" priority="39">
      <formula>ISNUMBER(FIND("Foe:",P3))</formula>
    </cfRule>
  </conditionalFormatting>
  <conditionalFormatting sqref="R3:R1048576">
    <cfRule type="expression" dxfId="32" priority="34">
      <formula>ISNUMBER(FIND("Self:",R3))</formula>
    </cfRule>
    <cfRule type="expression" dxfId="31" priority="35">
      <formula>ISNUMBER(FIND("Ally:",R3))</formula>
    </cfRule>
    <cfRule type="expression" dxfId="30" priority="36">
      <formula>ISNUMBER(FIND("Foe:",R3))</formula>
    </cfRule>
  </conditionalFormatting>
  <conditionalFormatting sqref="T3:T1048576">
    <cfRule type="expression" dxfId="29" priority="31">
      <formula>ISNUMBER(FIND("Self:",T3))</formula>
    </cfRule>
    <cfRule type="expression" dxfId="28" priority="32">
      <formula>ISNUMBER(FIND("Ally:",T3))</formula>
    </cfRule>
    <cfRule type="expression" dxfId="27" priority="33">
      <formula>ISNUMBER(FIND("Foe:",T3))</formula>
    </cfRule>
  </conditionalFormatting>
  <conditionalFormatting sqref="V3:V1048576">
    <cfRule type="expression" dxfId="26" priority="28">
      <formula>ISNUMBER(FIND("Self:",V3))</formula>
    </cfRule>
    <cfRule type="expression" dxfId="25" priority="29">
      <formula>ISNUMBER(FIND("Ally:",V3))</formula>
    </cfRule>
    <cfRule type="expression" dxfId="24" priority="30">
      <formula>ISNUMBER(FIND("Foe:",V3))</formula>
    </cfRule>
  </conditionalFormatting>
  <conditionalFormatting sqref="X3:X1048576">
    <cfRule type="expression" dxfId="23" priority="25">
      <formula>ISNUMBER(FIND("Self:",X3))</formula>
    </cfRule>
    <cfRule type="expression" dxfId="22" priority="26">
      <formula>ISNUMBER(FIND("Ally:",X3))</formula>
    </cfRule>
    <cfRule type="expression" dxfId="21" priority="27">
      <formula>ISNUMBER(FIND("Foe:",X3))</formula>
    </cfRule>
  </conditionalFormatting>
  <conditionalFormatting sqref="Z3:Z1048576">
    <cfRule type="expression" dxfId="20" priority="22">
      <formula>ISNUMBER(FIND("Self:",Z3))</formula>
    </cfRule>
    <cfRule type="expression" dxfId="19" priority="23">
      <formula>ISNUMBER(FIND("Ally:",Z3))</formula>
    </cfRule>
    <cfRule type="expression" dxfId="18" priority="24">
      <formula>ISNUMBER(FIND("Foe:",Z3))</formula>
    </cfRule>
  </conditionalFormatting>
  <conditionalFormatting sqref="F11:F14">
    <cfRule type="expression" dxfId="17" priority="16">
      <formula>ISNUMBER(FIND("Self:",F11))</formula>
    </cfRule>
    <cfRule type="expression" dxfId="16" priority="17">
      <formula>ISNUMBER(FIND("Ally:",F11))</formula>
    </cfRule>
    <cfRule type="expression" dxfId="15" priority="18">
      <formula>ISNUMBER(FIND("Foe:",F11))</formula>
    </cfRule>
  </conditionalFormatting>
  <conditionalFormatting sqref="F15:F18">
    <cfRule type="expression" dxfId="14" priority="13">
      <formula>ISNUMBER(FIND("Self:",F15))</formula>
    </cfRule>
    <cfRule type="expression" dxfId="13" priority="14">
      <formula>ISNUMBER(FIND("Ally:",F15))</formula>
    </cfRule>
    <cfRule type="expression" dxfId="12" priority="15">
      <formula>ISNUMBER(FIND("Foe:",F15))</formula>
    </cfRule>
  </conditionalFormatting>
  <conditionalFormatting sqref="F19:F20">
    <cfRule type="expression" dxfId="11" priority="10">
      <formula>ISNUMBER(FIND("Self:",F19))</formula>
    </cfRule>
    <cfRule type="expression" dxfId="10" priority="11">
      <formula>ISNUMBER(FIND("Ally:",F19))</formula>
    </cfRule>
    <cfRule type="expression" dxfId="9" priority="12">
      <formula>ISNUMBER(FIND("Foe:",F19))</formula>
    </cfRule>
  </conditionalFormatting>
  <conditionalFormatting sqref="F21:F22">
    <cfRule type="expression" dxfId="8" priority="7">
      <formula>ISNUMBER(FIND("Self:",F21))</formula>
    </cfRule>
    <cfRule type="expression" dxfId="7" priority="8">
      <formula>ISNUMBER(FIND("Ally:",F21))</formula>
    </cfRule>
    <cfRule type="expression" dxfId="6" priority="9">
      <formula>ISNUMBER(FIND("Foe:",F21))</formula>
    </cfRule>
  </conditionalFormatting>
  <conditionalFormatting sqref="H5:L5">
    <cfRule type="expression" dxfId="5" priority="4">
      <formula>ISNUMBER(FIND("Self:",H5))</formula>
    </cfRule>
    <cfRule type="expression" dxfId="4" priority="5">
      <formula>ISNUMBER(FIND("Ally:",H5))</formula>
    </cfRule>
    <cfRule type="expression" dxfId="3" priority="6">
      <formula>ISNUMBER(FIND("Foe:",H5))</formula>
    </cfRule>
  </conditionalFormatting>
  <conditionalFormatting sqref="F4">
    <cfRule type="expression" dxfId="2" priority="1">
      <formula>ISNUMBER(FIND("Self:",F4))</formula>
    </cfRule>
    <cfRule type="expression" dxfId="1" priority="2">
      <formula>ISNUMBER(FIND("Ally:",F4))</formula>
    </cfRule>
    <cfRule type="expression" dxfId="0" priority="3">
      <formula>ISNUMBER(FIND("Foe:",F4))</formula>
    </cfRule>
  </conditionalFormatting>
  <dataValidations count="2">
    <dataValidation type="list" allowBlank="1" showInputMessage="1" showErrorMessage="1" sqref="Z1:Z1048576 D8:D1048576 F8:F1048576 I5 H1:H6 H8:H1048576 J1:J1048576 L1:L1048576 D1:D2 X1:X1048576 V1:V1048576 T1:T1048576 R1:R1048576 P1:P1048576 N1:N1048576 K5 F1:F6" xr:uid="{00000000-0002-0000-0700-000000000000}">
      <formula1>$AD:$AD</formula1>
    </dataValidation>
    <dataValidation type="list" allowBlank="1" showInputMessage="1" showErrorMessage="1" sqref="AA1:AA1048576 G8:G1048576 D3:D7 I1:I4 K1:K4 E1:E1048576 Y1:Y1048576 W1:W1048576 U1:U1048576 S1:S1048576 Q1:Q1048576 O1:O1048576 M1:M1048576 I6:I1048576 K6:K1048576 G1:G6" xr:uid="{00000000-0002-0000-0700-000001000000}">
      <formula1>$AC:$AC</formula1>
    </dataValidation>
  </dataValidations>
  <hyperlinks>
    <hyperlink ref="AC3" r:id="rId1" tooltip="Potion (item)" display="http://finalfantasy.wikia.com/wiki/Potion_(item)" xr:uid="{00000000-0004-0000-0700-000000000000}"/>
    <hyperlink ref="AC4" r:id="rId2" tooltip="Hi-Potion" display="http://finalfantasy.wikia.com/wiki/Hi-Potion" xr:uid="{00000000-0004-0000-0700-000001000000}"/>
    <hyperlink ref="AC5" r:id="rId3" tooltip="X-Potion" display="http://finalfantasy.wikia.com/wiki/X-Potion" xr:uid="{00000000-0004-0000-0700-000002000000}"/>
    <hyperlink ref="AC6" r:id="rId4" tooltip="Ether" display="http://finalfantasy.wikia.com/wiki/Ether" xr:uid="{00000000-0004-0000-0700-000003000000}"/>
    <hyperlink ref="AC7" r:id="rId5" tooltip="Hi-Ether" display="http://finalfantasy.wikia.com/wiki/Hi-Ether" xr:uid="{00000000-0004-0000-0700-000004000000}"/>
    <hyperlink ref="AC8" r:id="rId6" tooltip="Elixir (item)" display="http://finalfantasy.wikia.com/wiki/Elixir_(item)" xr:uid="{00000000-0004-0000-0700-000005000000}"/>
    <hyperlink ref="AC9" r:id="rId7" tooltip="Megalixir" display="http://finalfantasy.wikia.com/wiki/Megalixir" xr:uid="{00000000-0004-0000-0700-000006000000}"/>
    <hyperlink ref="AC10" r:id="rId8" tooltip="Remedy (item)" display="http://finalfantasy.wikia.com/wiki/Remedy_(item)" xr:uid="{00000000-0004-0000-0700-000007000000}"/>
    <hyperlink ref="AC11" r:id="rId9" tooltip="Phoenix Down" display="http://finalfantasy.wikia.com/wiki/Phoenix_Down" xr:uid="{00000000-0004-0000-0700-000008000000}"/>
    <hyperlink ref="AC12" r:id="rId10" tooltip="Gold Needle" display="http://finalfantasy.wikia.com/wiki/Gold_Needle" xr:uid="{00000000-0004-0000-0700-000009000000}"/>
    <hyperlink ref="AC13" r:id="rId11" tooltip="Echo Herbs" display="http://finalfantasy.wikia.com/wiki/Echo_Herbs" xr:uid="{00000000-0004-0000-0700-00000A000000}"/>
    <hyperlink ref="AC14" r:id="rId12" tooltip="Antidote (item)" display="http://finalfantasy.wikia.com/wiki/Antidote_(item)" xr:uid="{00000000-0004-0000-0700-00000B000000}"/>
    <hyperlink ref="AC15" r:id="rId13" tooltip="Eye Drops" display="http://finalfantasy.wikia.com/wiki/Eye_Drops" xr:uid="{00000000-0004-0000-0700-00000C000000}"/>
    <hyperlink ref="AC16" r:id="rId14" tooltip="Alarm Clock" display="http://finalfantasy.wikia.com/wiki/Alarm_Clock" xr:uid="{00000000-0004-0000-0700-00000D000000}"/>
    <hyperlink ref="AC17" r:id="rId15" tooltip="Handkerchief (item)" display="http://finalfantasy.wikia.com/wiki/Handkerchief_(item)" xr:uid="{00000000-0004-0000-0700-00000E000000}"/>
    <hyperlink ref="AC19" r:id="rId16" tooltip="Smelling Salts (item)" display="http://finalfantasy.wikia.com/wiki/Smelling_Salts_(item)" xr:uid="{00000000-0004-0000-0700-00000F000000}"/>
    <hyperlink ref="AC20" r:id="rId17" tooltip="Vaccine" display="http://finalfantasy.wikia.com/wiki/Vaccine" xr:uid="{00000000-0004-0000-0700-000010000000}"/>
  </hyperlinks>
  <pageMargins left="0.7" right="0.7" top="0.75" bottom="0.75" header="0.3" footer="0.3"/>
  <pageSetup paperSize="9" orientation="portrait"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2018-06-18T02:32:27Z</dcterms:modified>
</cp:coreProperties>
</file>